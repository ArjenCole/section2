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995" tabRatio="600" firstSheet="0" activeTab="1" autoFilterDateGrouping="1"/>
  </bookViews>
  <sheets>
    <sheet xmlns:r="http://schemas.openxmlformats.org/officeDocument/2006/relationships" name="砼管砼基础" sheetId="1" state="visible" r:id="rId1"/>
    <sheet xmlns:r="http://schemas.openxmlformats.org/officeDocument/2006/relationships" name="砼管砂基础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2" borderId="0" applyAlignment="1" pivotButton="0" quotePrefix="0" xfId="0">
      <alignment vertical="center"/>
    </xf>
    <xf numFmtId="49" fontId="0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pane ySplit="1" topLeftCell="A36" activePane="bottomLeft" state="frozenSplit"/>
      <selection pane="bottomLeft" activeCell="D138" sqref="D138"/>
    </sheetView>
  </sheetViews>
  <sheetFormatPr baseColWidth="8" defaultRowHeight="14.25"/>
  <cols>
    <col width="11.25" bestFit="1" customWidth="1" style="2" min="1" max="1"/>
    <col width="6.75" customWidth="1" style="2" min="2" max="6"/>
    <col width="9" customWidth="1" style="2" min="7" max="16"/>
  </cols>
  <sheetData>
    <row r="1">
      <c r="A1" s="2" t="inlineStr">
        <is>
          <t>level</t>
        </is>
      </c>
      <c r="B1" s="2" t="inlineStr">
        <is>
          <t>angle</t>
        </is>
      </c>
      <c r="C1" s="2" t="inlineStr">
        <is>
          <t>D</t>
        </is>
      </c>
      <c r="D1" s="2" t="inlineStr">
        <is>
          <t>t</t>
        </is>
      </c>
      <c r="E1" s="2" t="inlineStr">
        <is>
          <t>a</t>
        </is>
      </c>
      <c r="F1" s="2" t="inlineStr">
        <is>
          <t>B</t>
        </is>
      </c>
      <c r="G1" s="2" t="inlineStr">
        <is>
          <t>C1</t>
        </is>
      </c>
      <c r="H1" s="2" t="inlineStr">
        <is>
          <t>C2</t>
        </is>
      </c>
      <c r="I1" s="2" t="inlineStr">
        <is>
          <t>Q</t>
        </is>
      </c>
      <c r="P1" s="2" t="inlineStr">
        <is>
          <t>level</t>
        </is>
      </c>
    </row>
    <row r="2" customFormat="1" s="1">
      <c r="A2" s="3" t="inlineStr">
        <is>
          <t>06MS201-1</t>
        </is>
      </c>
      <c r="B2" s="3" t="n">
        <v>16</v>
      </c>
      <c r="C2" s="3" t="inlineStr">
        <is>
          <t>120°</t>
        </is>
      </c>
      <c r="D2" s="3" t="inlineStr">
        <is>
          <t>D=600~3000钢筋混凝土管（Ⅰ级管）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inlineStr">
        <is>
          <t>图集标识等级</t>
        </is>
      </c>
    </row>
    <row r="3">
      <c r="A3" s="2" t="n">
        <v>1</v>
      </c>
      <c r="B3" s="2" t="n">
        <v>120</v>
      </c>
      <c r="C3" s="2" t="n">
        <v>600</v>
      </c>
      <c r="D3" s="2" t="n">
        <v>55</v>
      </c>
      <c r="E3" s="2" t="n">
        <v>100</v>
      </c>
      <c r="F3" s="2" t="n">
        <v>910</v>
      </c>
      <c r="G3" s="2" t="n">
        <v>100</v>
      </c>
      <c r="H3" s="2" t="n">
        <v>178</v>
      </c>
      <c r="I3" s="2" t="n">
        <v>0.175</v>
      </c>
      <c r="J3" s="2">
        <f>+G3*F3</f>
        <v/>
      </c>
      <c r="K3" s="2">
        <f>+H3*F3</f>
        <v/>
      </c>
      <c r="L3" s="2">
        <f>+PI()*(C3/2+D3)^2/(360/B3)</f>
        <v/>
      </c>
      <c r="M3" s="2">
        <f>1/2*(C3/2+D3)^2*SIN(B3/180*PI())</f>
        <v/>
      </c>
      <c r="N3" s="2">
        <f>(J3+K3-L3+M3)/1000000</f>
        <v/>
      </c>
      <c r="P3" s="2" t="n">
        <v>1</v>
      </c>
    </row>
    <row r="4">
      <c r="A4" s="2" t="n">
        <v>1</v>
      </c>
      <c r="B4" s="2" t="n">
        <v>120</v>
      </c>
      <c r="C4" s="2" t="n">
        <v>700</v>
      </c>
      <c r="D4" s="2" t="n">
        <v>60</v>
      </c>
      <c r="E4" s="2" t="n">
        <v>100</v>
      </c>
      <c r="F4" s="2" t="n">
        <v>1020</v>
      </c>
      <c r="G4" s="2" t="n">
        <v>100</v>
      </c>
      <c r="H4" s="2" t="n">
        <v>205</v>
      </c>
      <c r="I4" s="2" t="n">
        <v>0.208</v>
      </c>
      <c r="J4" s="2">
        <f>+G4*F4</f>
        <v/>
      </c>
      <c r="K4" s="2">
        <f>+H4*F4</f>
        <v/>
      </c>
      <c r="L4" s="2">
        <f>+PI()*(C4/2+D4)^2/(360/B4)</f>
        <v/>
      </c>
      <c r="M4" s="2">
        <f>1/2*(C4/2+D4)^2*SIN(B4/180*PI())</f>
        <v/>
      </c>
      <c r="N4" s="2">
        <f>(J4+K4-L4+M4)/1000000</f>
        <v/>
      </c>
      <c r="P4" s="2" t="n">
        <v>1</v>
      </c>
    </row>
    <row r="5">
      <c r="A5" s="2" t="n">
        <v>1</v>
      </c>
      <c r="B5" s="2" t="n">
        <v>120</v>
      </c>
      <c r="C5" s="2" t="n">
        <v>800</v>
      </c>
      <c r="D5" s="2" t="n">
        <v>70</v>
      </c>
      <c r="E5" s="2" t="n">
        <v>105</v>
      </c>
      <c r="F5" s="2" t="n">
        <v>1150</v>
      </c>
      <c r="G5" s="2" t="n">
        <v>105</v>
      </c>
      <c r="H5" s="2" t="n">
        <v>235</v>
      </c>
      <c r="I5" s="2" t="n">
        <v>0.255</v>
      </c>
      <c r="J5" s="2">
        <f>+G5*F5</f>
        <v/>
      </c>
      <c r="K5" s="2">
        <f>+H5*F5</f>
        <v/>
      </c>
      <c r="L5" s="2">
        <f>+PI()*(C5/2+D5)^2/(360/B5)</f>
        <v/>
      </c>
      <c r="M5" s="2">
        <f>1/2*(C5/2+D5)^2*SIN(B5/180*PI())</f>
        <v/>
      </c>
      <c r="N5" s="2">
        <f>(J5+K5-L5+M5)/1000000</f>
        <v/>
      </c>
      <c r="P5" s="2" t="n">
        <v>1</v>
      </c>
    </row>
    <row r="6">
      <c r="A6" s="2" t="n">
        <v>1</v>
      </c>
      <c r="B6" s="2" t="n">
        <v>120</v>
      </c>
      <c r="C6" s="2" t="n">
        <v>900</v>
      </c>
      <c r="D6" s="2" t="n">
        <v>75</v>
      </c>
      <c r="E6" s="2" t="n">
        <v>113</v>
      </c>
      <c r="F6" s="2" t="n">
        <v>1276</v>
      </c>
      <c r="G6" s="2" t="n">
        <v>113</v>
      </c>
      <c r="H6" s="2" t="n">
        <v>263</v>
      </c>
      <c r="I6" s="2" t="n">
        <v>0.309</v>
      </c>
      <c r="J6" s="2">
        <f>+G6*F6</f>
        <v/>
      </c>
      <c r="K6" s="2">
        <f>+H6*F6</f>
        <v/>
      </c>
      <c r="L6" s="2">
        <f>+PI()*(C6/2+D6)^2/(360/B6)</f>
        <v/>
      </c>
      <c r="M6" s="2">
        <f>1/2*(C6/2+D6)^2*SIN(B6/180*PI())</f>
        <v/>
      </c>
      <c r="N6" s="2">
        <f>(J6+K6-L6+M6)/1000000</f>
        <v/>
      </c>
      <c r="P6" s="2" t="n">
        <v>1</v>
      </c>
    </row>
    <row r="7">
      <c r="A7" s="2" t="n">
        <v>1</v>
      </c>
      <c r="B7" s="2" t="n">
        <v>120</v>
      </c>
      <c r="C7" s="2" t="n">
        <v>1000</v>
      </c>
      <c r="D7" s="2" t="n">
        <v>85</v>
      </c>
      <c r="E7" s="2" t="n">
        <v>128</v>
      </c>
      <c r="F7" s="2" t="n">
        <v>1426</v>
      </c>
      <c r="G7" s="2" t="n">
        <v>128</v>
      </c>
      <c r="H7" s="2" t="n">
        <v>293</v>
      </c>
      <c r="I7" s="2" t="n">
        <v>0.389</v>
      </c>
      <c r="J7" s="2">
        <f>+G7*F7</f>
        <v/>
      </c>
      <c r="K7" s="2">
        <f>+H7*F7</f>
        <v/>
      </c>
      <c r="L7" s="2">
        <f>+PI()*(C7/2+D7)^2/(360/B7)</f>
        <v/>
      </c>
      <c r="M7" s="2">
        <f>1/2*(C7/2+D7)^2*SIN(B7/180*PI())</f>
        <v/>
      </c>
      <c r="N7" s="2">
        <f>(J7+K7-L7+M7)/1000000</f>
        <v/>
      </c>
      <c r="P7" s="2" t="n">
        <v>1</v>
      </c>
    </row>
    <row r="8">
      <c r="A8" s="2" t="n">
        <v>1</v>
      </c>
      <c r="B8" s="2" t="n">
        <v>120</v>
      </c>
      <c r="C8" s="2" t="n">
        <v>1100</v>
      </c>
      <c r="D8" s="2" t="n">
        <v>95</v>
      </c>
      <c r="E8" s="2" t="n">
        <v>143</v>
      </c>
      <c r="F8" s="2" t="n">
        <v>1576</v>
      </c>
      <c r="G8" s="2" t="n">
        <v>143</v>
      </c>
      <c r="H8" s="2" t="n">
        <v>323</v>
      </c>
      <c r="I8" s="2" t="n">
        <v>0.478</v>
      </c>
      <c r="J8" s="2">
        <f>+G8*F8</f>
        <v/>
      </c>
      <c r="K8" s="2">
        <f>+H8*F8</f>
        <v/>
      </c>
      <c r="L8" s="2">
        <f>+PI()*(C8/2+D8)^2/(360/B8)</f>
        <v/>
      </c>
      <c r="M8" s="2">
        <f>1/2*(C8/2+D8)^2*SIN(B8/180*PI())</f>
        <v/>
      </c>
      <c r="N8" s="2">
        <f>(J8+K8-L8+M8)/1000000</f>
        <v/>
      </c>
      <c r="P8" s="2" t="n">
        <v>1</v>
      </c>
    </row>
    <row r="9">
      <c r="A9" s="2" t="n">
        <v>1</v>
      </c>
      <c r="B9" s="2" t="n">
        <v>120</v>
      </c>
      <c r="C9" s="2" t="n">
        <v>1200</v>
      </c>
      <c r="D9" s="2" t="n">
        <v>100</v>
      </c>
      <c r="E9" s="2" t="n">
        <v>150</v>
      </c>
      <c r="F9" s="2" t="n">
        <v>1700</v>
      </c>
      <c r="G9" s="2" t="n">
        <v>150</v>
      </c>
      <c r="H9" s="2" t="n">
        <v>350</v>
      </c>
      <c r="I9" s="2" t="n">
        <v>0.549</v>
      </c>
      <c r="J9" s="2">
        <f>+G9*F9</f>
        <v/>
      </c>
      <c r="K9" s="2">
        <f>+H9*F9</f>
        <v/>
      </c>
      <c r="L9" s="2">
        <f>+PI()*(C9/2+D9)^2/(360/B9)</f>
        <v/>
      </c>
      <c r="M9" s="2">
        <f>1/2*(C9/2+D9)^2*SIN(B9/180*PI())</f>
        <v/>
      </c>
      <c r="N9" s="2">
        <f>(J9+K9-L9+M9)/1000000</f>
        <v/>
      </c>
      <c r="P9" s="2" t="n">
        <v>1</v>
      </c>
    </row>
    <row r="10">
      <c r="A10" s="2" t="n">
        <v>1</v>
      </c>
      <c r="B10" s="2" t="n">
        <v>120</v>
      </c>
      <c r="C10" s="2" t="n">
        <v>1350</v>
      </c>
      <c r="D10" s="2" t="n">
        <v>115</v>
      </c>
      <c r="E10" s="2" t="n">
        <v>173</v>
      </c>
      <c r="F10" s="2" t="n">
        <v>1926</v>
      </c>
      <c r="G10" s="2" t="n">
        <v>173</v>
      </c>
      <c r="H10" s="2" t="n">
        <v>395</v>
      </c>
      <c r="I10" s="2" t="n">
        <v>0.709</v>
      </c>
      <c r="J10" s="2">
        <f>+G10*F10</f>
        <v/>
      </c>
      <c r="K10" s="2">
        <f>+H10*F10</f>
        <v/>
      </c>
      <c r="L10" s="2">
        <f>+PI()*(C10/2+D10)^2/(360/B10)</f>
        <v/>
      </c>
      <c r="M10" s="2">
        <f>1/2*(C10/2+D10)^2*SIN(B10/180*PI())</f>
        <v/>
      </c>
      <c r="N10" s="2">
        <f>(J10+K10-L10+M10)/1000000</f>
        <v/>
      </c>
      <c r="P10" s="2" t="n">
        <v>1</v>
      </c>
    </row>
    <row r="11">
      <c r="A11" s="2" t="n">
        <v>1</v>
      </c>
      <c r="B11" s="2" t="n">
        <v>120</v>
      </c>
      <c r="C11" s="2" t="n">
        <v>1500</v>
      </c>
      <c r="D11" s="2" t="n">
        <v>125</v>
      </c>
      <c r="E11" s="2" t="n">
        <v>188</v>
      </c>
      <c r="F11" s="2" t="n">
        <v>2126</v>
      </c>
      <c r="G11" s="2" t="n">
        <v>188</v>
      </c>
      <c r="H11" s="2" t="n">
        <v>438</v>
      </c>
      <c r="I11" s="2" t="n">
        <v>0.859</v>
      </c>
      <c r="J11" s="2">
        <f>+G11*F11</f>
        <v/>
      </c>
      <c r="K11" s="2">
        <f>+H11*F11</f>
        <v/>
      </c>
      <c r="L11" s="2">
        <f>+PI()*(C11/2+D11)^2/(360/B11)</f>
        <v/>
      </c>
      <c r="M11" s="2">
        <f>1/2*(C11/2+D11)^2*SIN(B11/180*PI())</f>
        <v/>
      </c>
      <c r="N11" s="2">
        <f>(J11+K11-L11+M11)/1000000</f>
        <v/>
      </c>
      <c r="P11" s="2" t="n">
        <v>1</v>
      </c>
    </row>
    <row r="12">
      <c r="A12" s="2" t="n">
        <v>1</v>
      </c>
      <c r="B12" s="2" t="n">
        <v>120</v>
      </c>
      <c r="C12" s="2" t="n">
        <v>1650</v>
      </c>
      <c r="D12" s="2" t="n">
        <v>140</v>
      </c>
      <c r="E12" s="2" t="n">
        <v>210</v>
      </c>
      <c r="F12" s="2" t="n">
        <v>2350</v>
      </c>
      <c r="G12" s="2" t="n">
        <v>210</v>
      </c>
      <c r="H12" s="2" t="n">
        <v>483</v>
      </c>
      <c r="I12" s="2" t="n">
        <v>1.055</v>
      </c>
      <c r="J12" s="2">
        <f>+G12*F12</f>
        <v/>
      </c>
      <c r="K12" s="2">
        <f>+H12*F12</f>
        <v/>
      </c>
      <c r="L12" s="2">
        <f>+PI()*(C12/2+D12)^2/(360/B12)</f>
        <v/>
      </c>
      <c r="M12" s="2">
        <f>1/2*(C12/2+D12)^2*SIN(B12/180*PI())</f>
        <v/>
      </c>
      <c r="N12" s="2">
        <f>(J12+K12-L12+M12)/1000000</f>
        <v/>
      </c>
      <c r="P12" s="2" t="n">
        <v>1</v>
      </c>
    </row>
    <row r="13">
      <c r="A13" s="2" t="n">
        <v>1</v>
      </c>
      <c r="B13" s="2" t="n">
        <v>120</v>
      </c>
      <c r="C13" s="2" t="n">
        <v>1800</v>
      </c>
      <c r="D13" s="2" t="n">
        <v>150</v>
      </c>
      <c r="E13" s="2" t="n">
        <v>225</v>
      </c>
      <c r="F13" s="2" t="n">
        <v>2550</v>
      </c>
      <c r="G13" s="2" t="n">
        <v>225</v>
      </c>
      <c r="H13" s="2" t="n">
        <v>525</v>
      </c>
      <c r="I13" s="2" t="n">
        <v>1.235</v>
      </c>
      <c r="J13" s="2">
        <f>+G13*F13</f>
        <v/>
      </c>
      <c r="K13" s="2">
        <f>+H13*F13</f>
        <v/>
      </c>
      <c r="L13" s="2">
        <f>+PI()*(C13/2+D13)^2/(360/B13)</f>
        <v/>
      </c>
      <c r="M13" s="2">
        <f>1/2*(C13/2+D13)^2*SIN(B13/180*PI())</f>
        <v/>
      </c>
      <c r="N13" s="2">
        <f>(J13+K13-L13+M13)/1000000</f>
        <v/>
      </c>
      <c r="P13" s="2" t="n">
        <v>1</v>
      </c>
    </row>
    <row r="14">
      <c r="A14" s="2" t="n">
        <v>1</v>
      </c>
      <c r="B14" s="2" t="n">
        <v>120</v>
      </c>
      <c r="C14" s="2" t="n">
        <v>2000</v>
      </c>
      <c r="D14" s="2" t="n">
        <v>170</v>
      </c>
      <c r="E14" s="2" t="n">
        <v>255</v>
      </c>
      <c r="F14" s="2" t="n">
        <v>2850</v>
      </c>
      <c r="G14" s="2" t="n">
        <v>255</v>
      </c>
      <c r="H14" s="2" t="n">
        <v>585</v>
      </c>
      <c r="I14" s="2" t="n">
        <v>1.553</v>
      </c>
      <c r="J14" s="2">
        <f>+G14*F14</f>
        <v/>
      </c>
      <c r="K14" s="2">
        <f>+H14*F14</f>
        <v/>
      </c>
      <c r="L14" s="2">
        <f>+PI()*(C14/2+D14)^2/(360/B14)</f>
        <v/>
      </c>
      <c r="M14" s="2">
        <f>1/2*(C14/2+D14)^2*SIN(B14/180*PI())</f>
        <v/>
      </c>
      <c r="N14" s="2">
        <f>(J14+K14-L14+M14)/1000000</f>
        <v/>
      </c>
      <c r="P14" s="2" t="n">
        <v>1</v>
      </c>
    </row>
    <row r="15">
      <c r="A15" s="2" t="n">
        <v>1</v>
      </c>
      <c r="B15" s="2" t="n">
        <v>120</v>
      </c>
      <c r="C15" s="2" t="n">
        <v>2200</v>
      </c>
      <c r="D15" s="2" t="n">
        <v>185</v>
      </c>
      <c r="E15" s="2" t="n">
        <v>278</v>
      </c>
      <c r="F15" s="2" t="n">
        <v>3126</v>
      </c>
      <c r="G15" s="2" t="n">
        <v>278</v>
      </c>
      <c r="H15" s="2" t="n">
        <v>643</v>
      </c>
      <c r="I15" s="2" t="n">
        <v>1.862</v>
      </c>
      <c r="J15" s="2">
        <f>+G15*F15</f>
        <v/>
      </c>
      <c r="K15" s="2">
        <f>+H15*F15</f>
        <v/>
      </c>
      <c r="L15" s="2">
        <f>+PI()*(C15/2+D15)^2/(360/B15)</f>
        <v/>
      </c>
      <c r="M15" s="2">
        <f>1/2*(C15/2+D15)^2*SIN(B15/180*PI())</f>
        <v/>
      </c>
      <c r="N15" s="2">
        <f>(J15+K15-L15+M15)/1000000</f>
        <v/>
      </c>
      <c r="P15" s="2" t="n">
        <v>1</v>
      </c>
    </row>
    <row r="16">
      <c r="A16" s="2" t="n">
        <v>1</v>
      </c>
      <c r="B16" s="2" t="n">
        <v>120</v>
      </c>
      <c r="C16" s="2" t="n">
        <v>2400</v>
      </c>
      <c r="D16" s="2" t="n">
        <v>200</v>
      </c>
      <c r="E16" s="2" t="n">
        <v>300</v>
      </c>
      <c r="F16" s="2" t="n">
        <v>3400</v>
      </c>
      <c r="G16" s="2" t="n">
        <v>300</v>
      </c>
      <c r="H16" s="2" t="n">
        <v>700</v>
      </c>
      <c r="I16" s="2" t="n">
        <v>2.196</v>
      </c>
      <c r="J16" s="2">
        <f>+G16*F16</f>
        <v/>
      </c>
      <c r="K16" s="2">
        <f>+H16*F16</f>
        <v/>
      </c>
      <c r="L16" s="2">
        <f>+PI()*(C16/2+D16)^2/(360/B16)</f>
        <v/>
      </c>
      <c r="M16" s="2">
        <f>1/2*(C16/2+D16)^2*SIN(B16/180*PI())</f>
        <v/>
      </c>
      <c r="N16" s="2">
        <f>(J16+K16-L16+M16)/1000000</f>
        <v/>
      </c>
      <c r="P16" s="2" t="n">
        <v>1</v>
      </c>
    </row>
    <row r="17">
      <c r="A17" s="2" t="n">
        <v>1</v>
      </c>
      <c r="B17" s="2" t="n">
        <v>120</v>
      </c>
      <c r="C17" s="2" t="n">
        <v>2600</v>
      </c>
      <c r="D17" s="2" t="n">
        <v>220</v>
      </c>
      <c r="E17" s="2" t="n">
        <v>330</v>
      </c>
      <c r="F17" s="2" t="n">
        <v>3700</v>
      </c>
      <c r="G17" s="2" t="n">
        <v>330</v>
      </c>
      <c r="H17" s="2" t="n">
        <v>760</v>
      </c>
      <c r="I17" s="2" t="n">
        <v>2.614</v>
      </c>
      <c r="J17" s="2">
        <f>+G17*F17</f>
        <v/>
      </c>
      <c r="K17" s="2">
        <f>+H17*F17</f>
        <v/>
      </c>
      <c r="L17" s="2">
        <f>+PI()*(C17/2+D17)^2/(360/B17)</f>
        <v/>
      </c>
      <c r="M17" s="2">
        <f>1/2*(C17/2+D17)^2*SIN(B17/180*PI())</f>
        <v/>
      </c>
      <c r="N17" s="2">
        <f>(J17+K17-L17+M17)/1000000</f>
        <v/>
      </c>
      <c r="P17" s="2" t="n">
        <v>1</v>
      </c>
    </row>
    <row r="18">
      <c r="A18" s="2" t="n">
        <v>1</v>
      </c>
      <c r="B18" s="2" t="n">
        <v>120</v>
      </c>
      <c r="C18" s="2" t="n">
        <v>2800</v>
      </c>
      <c r="D18" s="2" t="n">
        <v>235</v>
      </c>
      <c r="E18" s="2" t="n">
        <v>353</v>
      </c>
      <c r="F18" s="2" t="n">
        <v>3976</v>
      </c>
      <c r="G18" s="2" t="n">
        <v>353</v>
      </c>
      <c r="H18" s="2" t="n">
        <v>818</v>
      </c>
      <c r="I18" s="2" t="n">
        <v>3.011</v>
      </c>
      <c r="J18" s="2">
        <f>+G18*F18</f>
        <v/>
      </c>
      <c r="K18" s="2">
        <f>+H18*F18</f>
        <v/>
      </c>
      <c r="L18" s="2">
        <f>+PI()*(C18/2+D18)^2/(360/B18)</f>
        <v/>
      </c>
      <c r="M18" s="2">
        <f>1/2*(C18/2+D18)^2*SIN(B18/180*PI())</f>
        <v/>
      </c>
      <c r="N18" s="2">
        <f>(J18+K18-L18+M18)/1000000</f>
        <v/>
      </c>
      <c r="P18" s="2" t="n">
        <v>1</v>
      </c>
    </row>
    <row r="19">
      <c r="A19" s="2" t="n">
        <v>1</v>
      </c>
      <c r="B19" s="2" t="n">
        <v>120</v>
      </c>
      <c r="C19" s="2" t="n">
        <v>3000</v>
      </c>
      <c r="D19" s="2" t="n">
        <v>250</v>
      </c>
      <c r="E19" s="2" t="n">
        <v>375</v>
      </c>
      <c r="F19" s="2" t="n">
        <v>4250</v>
      </c>
      <c r="G19" s="2" t="n">
        <v>375</v>
      </c>
      <c r="H19" s="2" t="n">
        <v>875</v>
      </c>
      <c r="I19" s="2" t="n">
        <v>3.432</v>
      </c>
      <c r="J19" s="2">
        <f>+G19*F19</f>
        <v/>
      </c>
      <c r="K19" s="2">
        <f>+H19*F19</f>
        <v/>
      </c>
      <c r="L19" s="2">
        <f>+PI()*(C19/2+D19)^2/(360/B19)</f>
        <v/>
      </c>
      <c r="M19" s="2">
        <f>1/2*(C19/2+D19)^2*SIN(B19/180*PI())</f>
        <v/>
      </c>
      <c r="N19" s="2">
        <f>(J19+K19-L19+M19)/1000000</f>
        <v/>
      </c>
      <c r="P19" s="2" t="n">
        <v>1</v>
      </c>
    </row>
    <row r="20" customFormat="1" s="1">
      <c r="A20" s="3" t="inlineStr">
        <is>
          <t>06MS201-1</t>
        </is>
      </c>
      <c r="B20" s="3" t="n">
        <v>17</v>
      </c>
      <c r="C20" s="3" t="inlineStr">
        <is>
          <t>120°</t>
        </is>
      </c>
      <c r="D20" s="3" t="inlineStr">
        <is>
          <t>D=600~3000钢筋混凝土管（Ⅱ、Ⅲ级管）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06MS201-1</t>
        </is>
      </c>
    </row>
    <row r="21">
      <c r="A21" s="2" t="inlineStr">
        <is>
          <t>2</t>
        </is>
      </c>
      <c r="B21" s="2" t="n">
        <v>120</v>
      </c>
      <c r="C21" s="2" t="n">
        <v>600</v>
      </c>
      <c r="D21" s="2" t="n">
        <v>60</v>
      </c>
      <c r="E21" s="2" t="n">
        <v>100</v>
      </c>
      <c r="F21" s="2" t="n">
        <v>920</v>
      </c>
      <c r="G21" s="2" t="n">
        <v>100</v>
      </c>
      <c r="H21" s="2" t="n">
        <v>180</v>
      </c>
      <c r="I21" s="2" t="n">
        <v>0.178</v>
      </c>
      <c r="J21" s="2">
        <f>+G21*F21</f>
        <v/>
      </c>
      <c r="K21" s="2">
        <f>+H21*F21</f>
        <v/>
      </c>
      <c r="L21" s="2">
        <f>+PI()*(C21/2+D21)^2/(360/B21)</f>
        <v/>
      </c>
      <c r="M21" s="2">
        <f>1/2*(C21/2+D21)^2*SIN(B21/180*PI())</f>
        <v/>
      </c>
      <c r="N21" s="2">
        <f>(J21+K21-L21+M21)/1000000</f>
        <v/>
      </c>
      <c r="P21" s="2" t="inlineStr">
        <is>
          <t>2、3</t>
        </is>
      </c>
    </row>
    <row r="22">
      <c r="A22" s="2" t="inlineStr">
        <is>
          <t>2</t>
        </is>
      </c>
      <c r="B22" s="2" t="n">
        <v>120</v>
      </c>
      <c r="C22" s="2" t="n">
        <v>700</v>
      </c>
      <c r="D22" s="2" t="n">
        <v>70</v>
      </c>
      <c r="E22" s="2" t="n">
        <v>105</v>
      </c>
      <c r="F22" s="2" t="n">
        <v>1050</v>
      </c>
      <c r="G22" s="2" t="n">
        <v>105</v>
      </c>
      <c r="H22" s="2" t="n">
        <v>210</v>
      </c>
      <c r="I22" s="2" t="n">
        <v>0.222</v>
      </c>
      <c r="J22" s="2">
        <f>+G22*F22</f>
        <v/>
      </c>
      <c r="K22" s="2">
        <f>+H22*F22</f>
        <v/>
      </c>
      <c r="L22" s="2">
        <f>+PI()*(C22/2+D22)^2/(360/B22)</f>
        <v/>
      </c>
      <c r="M22" s="2">
        <f>1/2*(C22/2+D22)^2*SIN(B22/180*PI())</f>
        <v/>
      </c>
      <c r="N22" s="2">
        <f>(J22+K22-L22+M22)/1000000</f>
        <v/>
      </c>
      <c r="P22" s="2" t="inlineStr">
        <is>
          <t>2、3</t>
        </is>
      </c>
    </row>
    <row r="23">
      <c r="A23" s="2" t="inlineStr">
        <is>
          <t>2</t>
        </is>
      </c>
      <c r="B23" s="2" t="n">
        <v>120</v>
      </c>
      <c r="C23" s="2" t="n">
        <v>800</v>
      </c>
      <c r="D23" s="2" t="n">
        <v>80</v>
      </c>
      <c r="E23" s="2" t="n">
        <v>120</v>
      </c>
      <c r="F23" s="2" t="n">
        <v>1200</v>
      </c>
      <c r="G23" s="2" t="n">
        <v>120</v>
      </c>
      <c r="H23" s="2" t="n">
        <v>240</v>
      </c>
      <c r="I23" s="2" t="n">
        <v>0.29</v>
      </c>
      <c r="J23" s="2">
        <f>+G23*F23</f>
        <v/>
      </c>
      <c r="K23" s="2">
        <f>+H23*F23</f>
        <v/>
      </c>
      <c r="L23" s="2">
        <f>+PI()*(C23/2+D23)^2/(360/B23)</f>
        <v/>
      </c>
      <c r="M23" s="2">
        <f>1/2*(C23/2+D23)^2*SIN(B23/180*PI())</f>
        <v/>
      </c>
      <c r="N23" s="2">
        <f>(J23+K23-L23+M23)/1000000</f>
        <v/>
      </c>
      <c r="P23" s="2" t="inlineStr">
        <is>
          <t>2、3</t>
        </is>
      </c>
    </row>
    <row r="24">
      <c r="A24" s="2" t="inlineStr">
        <is>
          <t>2</t>
        </is>
      </c>
      <c r="B24" s="2" t="n">
        <v>120</v>
      </c>
      <c r="C24" s="2" t="n">
        <v>900</v>
      </c>
      <c r="D24" s="2" t="n">
        <v>90</v>
      </c>
      <c r="E24" s="2" t="n">
        <v>135</v>
      </c>
      <c r="F24" s="2" t="n">
        <v>1350</v>
      </c>
      <c r="G24" s="2" t="n">
        <v>135</v>
      </c>
      <c r="H24" s="2" t="n">
        <v>270</v>
      </c>
      <c r="I24" s="2" t="n">
        <v>0.368</v>
      </c>
      <c r="J24" s="2">
        <f>+G24*F24</f>
        <v/>
      </c>
      <c r="K24" s="2">
        <f>+H24*F24</f>
        <v/>
      </c>
      <c r="L24" s="2">
        <f>+PI()*(C24/2+D24)^2/(360/B24)</f>
        <v/>
      </c>
      <c r="M24" s="2">
        <f>1/2*(C24/2+D24)^2*SIN(B24/180*PI())</f>
        <v/>
      </c>
      <c r="N24" s="2">
        <f>(J24+K24-L24+M24)/1000000</f>
        <v/>
      </c>
      <c r="P24" s="2" t="inlineStr">
        <is>
          <t>2、3</t>
        </is>
      </c>
    </row>
    <row r="25">
      <c r="A25" s="2" t="inlineStr">
        <is>
          <t>2</t>
        </is>
      </c>
      <c r="B25" s="2" t="n">
        <v>120</v>
      </c>
      <c r="C25" s="2" t="n">
        <v>1000</v>
      </c>
      <c r="D25" s="2" t="n">
        <v>100</v>
      </c>
      <c r="E25" s="2" t="n">
        <v>150</v>
      </c>
      <c r="F25" s="2" t="n">
        <v>1500</v>
      </c>
      <c r="G25" s="2" t="n">
        <v>150</v>
      </c>
      <c r="H25" s="2" t="n">
        <v>300</v>
      </c>
      <c r="I25" s="2" t="n">
        <v>0.454</v>
      </c>
      <c r="J25" s="2">
        <f>+G25*F25</f>
        <v/>
      </c>
      <c r="K25" s="2">
        <f>+H25*F25</f>
        <v/>
      </c>
      <c r="L25" s="2">
        <f>+PI()*(C25/2+D25)^2/(360/B25)</f>
        <v/>
      </c>
      <c r="M25" s="2">
        <f>1/2*(C25/2+D25)^2*SIN(B25/180*PI())</f>
        <v/>
      </c>
      <c r="N25" s="2">
        <f>(J25+K25-L25+M25)/1000000</f>
        <v/>
      </c>
      <c r="P25" s="2" t="inlineStr">
        <is>
          <t>2、3</t>
        </is>
      </c>
    </row>
    <row r="26">
      <c r="A26" s="2" t="inlineStr">
        <is>
          <t>2</t>
        </is>
      </c>
      <c r="B26" s="2" t="n">
        <v>120</v>
      </c>
      <c r="C26" s="2" t="n">
        <v>1100</v>
      </c>
      <c r="D26" s="2" t="n">
        <v>110</v>
      </c>
      <c r="E26" s="2" t="n">
        <v>165</v>
      </c>
      <c r="F26" s="2" t="n">
        <v>1650</v>
      </c>
      <c r="G26" s="2" t="n">
        <v>165</v>
      </c>
      <c r="H26" s="2" t="n">
        <v>330</v>
      </c>
      <c r="I26" s="2" t="n">
        <v>0.549</v>
      </c>
      <c r="J26" s="2">
        <f>+G26*F26</f>
        <v/>
      </c>
      <c r="K26" s="2">
        <f>+H26*F26</f>
        <v/>
      </c>
      <c r="L26" s="2">
        <f>+PI()*(C26/2+D26)^2/(360/B26)</f>
        <v/>
      </c>
      <c r="M26" s="2">
        <f>1/2*(C26/2+D26)^2*SIN(B26/180*PI())</f>
        <v/>
      </c>
      <c r="N26" s="2">
        <f>(J26+K26-L26+M26)/1000000</f>
        <v/>
      </c>
      <c r="P26" s="2" t="inlineStr">
        <is>
          <t>2、3</t>
        </is>
      </c>
    </row>
    <row r="27">
      <c r="A27" s="2" t="inlineStr">
        <is>
          <t>2</t>
        </is>
      </c>
      <c r="B27" s="2" t="n">
        <v>120</v>
      </c>
      <c r="C27" s="2" t="n">
        <v>1200</v>
      </c>
      <c r="D27" s="2" t="n">
        <v>120</v>
      </c>
      <c r="E27" s="2" t="n">
        <v>180</v>
      </c>
      <c r="F27" s="2" t="n">
        <v>1800</v>
      </c>
      <c r="G27" s="2" t="n">
        <v>180</v>
      </c>
      <c r="H27" s="2" t="n">
        <v>360</v>
      </c>
      <c r="I27" s="2" t="n">
        <v>0.654</v>
      </c>
      <c r="J27" s="2">
        <f>+G27*F27</f>
        <v/>
      </c>
      <c r="K27" s="2">
        <f>+H27*F27</f>
        <v/>
      </c>
      <c r="L27" s="2">
        <f>+PI()*(C27/2+D27)^2/(360/B27)</f>
        <v/>
      </c>
      <c r="M27" s="2">
        <f>1/2*(C27/2+D27)^2*SIN(B27/180*PI())</f>
        <v/>
      </c>
      <c r="N27" s="2">
        <f>(J27+K27-L27+M27)/1000000</f>
        <v/>
      </c>
      <c r="P27" s="2" t="inlineStr">
        <is>
          <t>2、3</t>
        </is>
      </c>
    </row>
    <row r="28">
      <c r="A28" s="2" t="inlineStr">
        <is>
          <t>2</t>
        </is>
      </c>
      <c r="B28" s="2" t="n">
        <v>120</v>
      </c>
      <c r="C28" s="2" t="n">
        <v>1350</v>
      </c>
      <c r="D28" s="2" t="n">
        <v>135</v>
      </c>
      <c r="E28" s="2" t="n">
        <v>203</v>
      </c>
      <c r="F28" s="2" t="n">
        <v>2026</v>
      </c>
      <c r="G28" s="2" t="n">
        <v>203</v>
      </c>
      <c r="H28" s="2" t="n">
        <v>405</v>
      </c>
      <c r="I28" s="2" t="n">
        <v>0.827</v>
      </c>
      <c r="J28" s="2">
        <f>+G28*F28</f>
        <v/>
      </c>
      <c r="K28" s="2">
        <f>+H28*F28</f>
        <v/>
      </c>
      <c r="L28" s="2">
        <f>+PI()*(C28/2+D28)^2/(360/B28)</f>
        <v/>
      </c>
      <c r="M28" s="2">
        <f>1/2*(C28/2+D28)^2*SIN(B28/180*PI())</f>
        <v/>
      </c>
      <c r="N28" s="2">
        <f>(J28+K28-L28+M28)/1000000</f>
        <v/>
      </c>
      <c r="P28" s="2" t="inlineStr">
        <is>
          <t>2、3</t>
        </is>
      </c>
    </row>
    <row r="29">
      <c r="A29" s="2" t="inlineStr">
        <is>
          <t>2</t>
        </is>
      </c>
      <c r="B29" s="2" t="n">
        <v>120</v>
      </c>
      <c r="C29" s="2" t="n">
        <v>1500</v>
      </c>
      <c r="D29" s="2" t="n">
        <v>150</v>
      </c>
      <c r="E29" s="2" t="n">
        <v>225</v>
      </c>
      <c r="F29" s="2" t="n">
        <v>2250</v>
      </c>
      <c r="G29" s="2" t="n">
        <v>225</v>
      </c>
      <c r="H29" s="2" t="n">
        <v>450</v>
      </c>
      <c r="I29" s="2" t="n">
        <v>1.021</v>
      </c>
      <c r="J29" s="2">
        <f>+G29*F29</f>
        <v/>
      </c>
      <c r="K29" s="2">
        <f>+H29*F29</f>
        <v/>
      </c>
      <c r="L29" s="2">
        <f>+PI()*(C29/2+D29)^2/(360/B29)</f>
        <v/>
      </c>
      <c r="M29" s="2">
        <f>1/2*(C29/2+D29)^2*SIN(B29/180*PI())</f>
        <v/>
      </c>
      <c r="N29" s="2">
        <f>(J29+K29-L29+M29)/1000000</f>
        <v/>
      </c>
      <c r="P29" s="2" t="inlineStr">
        <is>
          <t>2、3</t>
        </is>
      </c>
    </row>
    <row r="30">
      <c r="A30" s="2" t="inlineStr">
        <is>
          <t>2</t>
        </is>
      </c>
      <c r="B30" s="2" t="n">
        <v>120</v>
      </c>
      <c r="C30" s="2" t="n">
        <v>1650</v>
      </c>
      <c r="D30" s="2" t="n">
        <v>165</v>
      </c>
      <c r="E30" s="2" t="n">
        <v>248</v>
      </c>
      <c r="F30" s="2" t="n">
        <v>2476</v>
      </c>
      <c r="G30" s="2" t="n">
        <v>248</v>
      </c>
      <c r="H30" s="2" t="n">
        <v>495</v>
      </c>
      <c r="I30" s="2" t="n">
        <v>1.237</v>
      </c>
      <c r="J30" s="2">
        <f>+G30*F30</f>
        <v/>
      </c>
      <c r="K30" s="2">
        <f>+H30*F30</f>
        <v/>
      </c>
      <c r="L30" s="2">
        <f>+PI()*(C30/2+D30)^2/(360/B30)</f>
        <v/>
      </c>
      <c r="M30" s="2">
        <f>1/2*(C30/2+D30)^2*SIN(B30/180*PI())</f>
        <v/>
      </c>
      <c r="N30" s="2">
        <f>(J30+K30-L30+M30)/1000000</f>
        <v/>
      </c>
      <c r="P30" s="2" t="inlineStr">
        <is>
          <t>2、3</t>
        </is>
      </c>
    </row>
    <row r="31">
      <c r="A31" s="2" t="inlineStr">
        <is>
          <t>2</t>
        </is>
      </c>
      <c r="B31" s="2" t="n">
        <v>120</v>
      </c>
      <c r="C31" s="2" t="n">
        <v>1800</v>
      </c>
      <c r="D31" s="2" t="n">
        <v>180</v>
      </c>
      <c r="E31" s="2" t="n">
        <v>270</v>
      </c>
      <c r="F31" s="2" t="n">
        <v>2700</v>
      </c>
      <c r="G31" s="2" t="n">
        <v>270</v>
      </c>
      <c r="H31" s="2" t="n">
        <v>540</v>
      </c>
      <c r="I31" s="2" t="n">
        <v>1.471</v>
      </c>
      <c r="J31" s="2">
        <f>+G31*F31</f>
        <v/>
      </c>
      <c r="K31" s="2">
        <f>+H31*F31</f>
        <v/>
      </c>
      <c r="L31" s="2">
        <f>+PI()*(C31/2+D31)^2/(360/B31)</f>
        <v/>
      </c>
      <c r="M31" s="2">
        <f>1/2*(C31/2+D31)^2*SIN(B31/180*PI())</f>
        <v/>
      </c>
      <c r="N31" s="2">
        <f>(J31+K31-L31+M31)/1000000</f>
        <v/>
      </c>
      <c r="P31" s="2" t="inlineStr">
        <is>
          <t>2、3</t>
        </is>
      </c>
    </row>
    <row r="32">
      <c r="A32" s="2" t="inlineStr">
        <is>
          <t>2</t>
        </is>
      </c>
      <c r="B32" s="2" t="n">
        <v>120</v>
      </c>
      <c r="C32" s="2" t="n">
        <v>2000</v>
      </c>
      <c r="D32" s="2" t="n">
        <v>200</v>
      </c>
      <c r="E32" s="2" t="n">
        <v>300</v>
      </c>
      <c r="F32" s="2" t="n">
        <v>3000</v>
      </c>
      <c r="G32" s="2" t="n">
        <v>300</v>
      </c>
      <c r="H32" s="2" t="n">
        <v>600</v>
      </c>
      <c r="I32" s="2" t="n">
        <v>1.816</v>
      </c>
      <c r="J32" s="2">
        <f>+G32*F32</f>
        <v/>
      </c>
      <c r="K32" s="2">
        <f>+H32*F32</f>
        <v/>
      </c>
      <c r="L32" s="2">
        <f>+PI()*(C32/2+D32)^2/(360/B32)</f>
        <v/>
      </c>
      <c r="M32" s="2">
        <f>1/2*(C32/2+D32)^2*SIN(B32/180*PI())</f>
        <v/>
      </c>
      <c r="N32" s="2">
        <f>(J32+K32-L32+M32)/1000000</f>
        <v/>
      </c>
      <c r="P32" s="2" t="inlineStr">
        <is>
          <t>2、3</t>
        </is>
      </c>
    </row>
    <row r="33">
      <c r="A33" s="2" t="inlineStr">
        <is>
          <t>2</t>
        </is>
      </c>
      <c r="B33" s="2" t="n">
        <v>120</v>
      </c>
      <c r="C33" s="2" t="n">
        <v>2200</v>
      </c>
      <c r="D33" s="2" t="n">
        <v>220</v>
      </c>
      <c r="E33" s="2" t="n">
        <v>330</v>
      </c>
      <c r="F33" s="2" t="n">
        <v>3300</v>
      </c>
      <c r="G33" s="2" t="n">
        <v>330</v>
      </c>
      <c r="H33" s="2" t="n">
        <v>660</v>
      </c>
      <c r="I33" s="2" t="n">
        <v>2.197</v>
      </c>
      <c r="J33" s="2">
        <f>+G33*F33</f>
        <v/>
      </c>
      <c r="K33" s="2">
        <f>+H33*F33</f>
        <v/>
      </c>
      <c r="L33" s="2">
        <f>+PI()*(C33/2+D33)^2/(360/B33)</f>
        <v/>
      </c>
      <c r="M33" s="2">
        <f>1/2*(C33/2+D33)^2*SIN(B33/180*PI())</f>
        <v/>
      </c>
      <c r="N33" s="2">
        <f>(J33+K33-L33+M33)/1000000</f>
        <v/>
      </c>
      <c r="P33" s="2" t="inlineStr">
        <is>
          <t>2、3</t>
        </is>
      </c>
    </row>
    <row r="34">
      <c r="A34" s="2" t="inlineStr">
        <is>
          <t>2</t>
        </is>
      </c>
      <c r="B34" s="2" t="n">
        <v>120</v>
      </c>
      <c r="C34" s="2" t="n">
        <v>2400</v>
      </c>
      <c r="D34" s="2" t="n">
        <v>230</v>
      </c>
      <c r="E34" s="2" t="n">
        <v>345</v>
      </c>
      <c r="F34" s="2" t="n">
        <v>3550</v>
      </c>
      <c r="G34" s="2" t="n">
        <v>345</v>
      </c>
      <c r="H34" s="2" t="n">
        <v>715</v>
      </c>
      <c r="I34" s="2" t="n">
        <v>2.507</v>
      </c>
      <c r="J34" s="2">
        <f>+G34*F34</f>
        <v/>
      </c>
      <c r="K34" s="2">
        <f>+H34*F34</f>
        <v/>
      </c>
      <c r="L34" s="2">
        <f>+PI()*(C34/2+D34)^2/(360/B34)</f>
        <v/>
      </c>
      <c r="M34" s="2">
        <f>1/2*(C34/2+D34)^2*SIN(B34/180*PI())</f>
        <v/>
      </c>
      <c r="N34" s="2">
        <f>(J34+K34-L34+M34)/1000000</f>
        <v/>
      </c>
      <c r="P34" s="2" t="inlineStr">
        <is>
          <t>2、3</t>
        </is>
      </c>
    </row>
    <row r="35">
      <c r="A35" s="2" t="inlineStr">
        <is>
          <t>2</t>
        </is>
      </c>
      <c r="B35" s="2" t="n">
        <v>120</v>
      </c>
      <c r="C35" s="2" t="n">
        <v>2600</v>
      </c>
      <c r="D35" s="2" t="n">
        <v>235</v>
      </c>
      <c r="E35" s="2" t="n">
        <v>353</v>
      </c>
      <c r="F35" s="2" t="n">
        <v>3776</v>
      </c>
      <c r="G35" s="2" t="n">
        <v>353</v>
      </c>
      <c r="H35" s="2" t="n">
        <v>768</v>
      </c>
      <c r="I35" s="2" t="n">
        <v>2.783</v>
      </c>
      <c r="J35" s="2">
        <f>+G35*F35</f>
        <v/>
      </c>
      <c r="K35" s="2">
        <f>+H35*F35</f>
        <v/>
      </c>
      <c r="L35" s="2">
        <f>+PI()*(C35/2+D35)^2/(360/B35)</f>
        <v/>
      </c>
      <c r="M35" s="2">
        <f>1/2*(C35/2+D35)^2*SIN(B35/180*PI())</f>
        <v/>
      </c>
      <c r="N35" s="2">
        <f>(J35+K35-L35+M35)/1000000</f>
        <v/>
      </c>
      <c r="P35" s="2" t="inlineStr">
        <is>
          <t>2、3</t>
        </is>
      </c>
    </row>
    <row r="36">
      <c r="A36" s="2" t="inlineStr">
        <is>
          <t>2</t>
        </is>
      </c>
      <c r="B36" s="2" t="n">
        <v>120</v>
      </c>
      <c r="C36" s="2" t="n">
        <v>2800</v>
      </c>
      <c r="D36" s="2" t="n">
        <v>255</v>
      </c>
      <c r="E36" s="2" t="n">
        <v>383</v>
      </c>
      <c r="F36" s="2" t="n">
        <v>4076</v>
      </c>
      <c r="G36" s="2" t="n">
        <v>383</v>
      </c>
      <c r="H36" s="2" t="n">
        <v>828</v>
      </c>
      <c r="I36" s="2" t="n">
        <v>3.251</v>
      </c>
      <c r="J36" s="2">
        <f>+G36*F36</f>
        <v/>
      </c>
      <c r="K36" s="2">
        <f>+H36*F36</f>
        <v/>
      </c>
      <c r="L36" s="2">
        <f>+PI()*(C36/2+D36)^2/(360/B36)</f>
        <v/>
      </c>
      <c r="M36" s="2">
        <f>1/2*(C36/2+D36)^2*SIN(B36/180*PI())</f>
        <v/>
      </c>
      <c r="N36" s="2">
        <f>(J36+K36-L36+M36)/1000000</f>
        <v/>
      </c>
      <c r="P36" s="2" t="inlineStr">
        <is>
          <t>2、3</t>
        </is>
      </c>
    </row>
    <row r="37">
      <c r="A37" s="2" t="inlineStr">
        <is>
          <t>2</t>
        </is>
      </c>
      <c r="B37" s="2" t="n">
        <v>120</v>
      </c>
      <c r="C37" s="2" t="n">
        <v>3000</v>
      </c>
      <c r="D37" s="2" t="n">
        <v>275</v>
      </c>
      <c r="E37" s="2" t="n">
        <v>413</v>
      </c>
      <c r="F37" s="2" t="n">
        <v>4376</v>
      </c>
      <c r="G37" s="2" t="n">
        <v>413</v>
      </c>
      <c r="H37" s="2" t="n">
        <v>888</v>
      </c>
      <c r="I37" s="2" t="n">
        <v>3.755</v>
      </c>
      <c r="J37" s="2">
        <f>+G37*F37</f>
        <v/>
      </c>
      <c r="K37" s="2">
        <f>+H37*F37</f>
        <v/>
      </c>
      <c r="L37" s="2">
        <f>+PI()*(C37/2+D37)^2/(360/B37)</f>
        <v/>
      </c>
      <c r="M37" s="2">
        <f>1/2*(C37/2+D37)^2*SIN(B37/180*PI())</f>
        <v/>
      </c>
      <c r="N37" s="2">
        <f>(J37+K37-L37+M37)/1000000</f>
        <v/>
      </c>
      <c r="P37" s="2" t="inlineStr">
        <is>
          <t>2、3</t>
        </is>
      </c>
    </row>
    <row r="38">
      <c r="A38" s="2" t="inlineStr">
        <is>
          <t>3</t>
        </is>
      </c>
      <c r="B38" s="2" t="n">
        <v>120</v>
      </c>
      <c r="C38" s="2" t="n">
        <v>600</v>
      </c>
      <c r="D38" s="2" t="n">
        <v>60</v>
      </c>
      <c r="E38" s="2" t="n">
        <v>100</v>
      </c>
      <c r="F38" s="2" t="n">
        <v>920</v>
      </c>
      <c r="G38" s="2" t="n">
        <v>100</v>
      </c>
      <c r="H38" s="2" t="n">
        <v>180</v>
      </c>
      <c r="I38" s="2" t="n">
        <v>0.178</v>
      </c>
      <c r="J38" s="2">
        <f>+G38*F38</f>
        <v/>
      </c>
      <c r="K38" s="2">
        <f>+H38*F38</f>
        <v/>
      </c>
      <c r="L38" s="2">
        <f>+PI()*(C38/2+D38)^2/(360/B38)</f>
        <v/>
      </c>
      <c r="M38" s="2">
        <f>1/2*(C38/2+D38)^2*SIN(B38/180*PI())</f>
        <v/>
      </c>
      <c r="N38" s="2">
        <f>(J38+K38-L38+M38)/1000000</f>
        <v/>
      </c>
      <c r="P38" s="2" t="inlineStr">
        <is>
          <t>2、3</t>
        </is>
      </c>
    </row>
    <row r="39">
      <c r="A39" s="2" t="inlineStr">
        <is>
          <t>3</t>
        </is>
      </c>
      <c r="B39" s="2" t="n">
        <v>120</v>
      </c>
      <c r="C39" s="2" t="n">
        <v>700</v>
      </c>
      <c r="D39" s="2" t="n">
        <v>70</v>
      </c>
      <c r="E39" s="2" t="n">
        <v>105</v>
      </c>
      <c r="F39" s="2" t="n">
        <v>1050</v>
      </c>
      <c r="G39" s="2" t="n">
        <v>105</v>
      </c>
      <c r="H39" s="2" t="n">
        <v>210</v>
      </c>
      <c r="I39" s="2" t="n">
        <v>0.222</v>
      </c>
      <c r="J39" s="2">
        <f>+G39*F39</f>
        <v/>
      </c>
      <c r="K39" s="2">
        <f>+H39*F39</f>
        <v/>
      </c>
      <c r="L39" s="2">
        <f>+PI()*(C39/2+D39)^2/(360/B39)</f>
        <v/>
      </c>
      <c r="M39" s="2">
        <f>1/2*(C39/2+D39)^2*SIN(B39/180*PI())</f>
        <v/>
      </c>
      <c r="N39" s="2">
        <f>(J39+K39-L39+M39)/1000000</f>
        <v/>
      </c>
      <c r="P39" s="2" t="inlineStr">
        <is>
          <t>2、3</t>
        </is>
      </c>
    </row>
    <row r="40">
      <c r="A40" s="2" t="inlineStr">
        <is>
          <t>3</t>
        </is>
      </c>
      <c r="B40" s="2" t="n">
        <v>120</v>
      </c>
      <c r="C40" s="2" t="n">
        <v>800</v>
      </c>
      <c r="D40" s="2" t="n">
        <v>80</v>
      </c>
      <c r="E40" s="2" t="n">
        <v>120</v>
      </c>
      <c r="F40" s="2" t="n">
        <v>1200</v>
      </c>
      <c r="G40" s="2" t="n">
        <v>120</v>
      </c>
      <c r="H40" s="2" t="n">
        <v>240</v>
      </c>
      <c r="I40" s="2" t="n">
        <v>0.29</v>
      </c>
      <c r="J40" s="2">
        <f>+G40*F40</f>
        <v/>
      </c>
      <c r="K40" s="2">
        <f>+H40*F40</f>
        <v/>
      </c>
      <c r="L40" s="2">
        <f>+PI()*(C40/2+D40)^2/(360/B40)</f>
        <v/>
      </c>
      <c r="M40" s="2">
        <f>1/2*(C40/2+D40)^2*SIN(B40/180*PI())</f>
        <v/>
      </c>
      <c r="N40" s="2">
        <f>(J40+K40-L40+M40)/1000000</f>
        <v/>
      </c>
      <c r="P40" s="2" t="inlineStr">
        <is>
          <t>2、3</t>
        </is>
      </c>
    </row>
    <row r="41">
      <c r="A41" s="2" t="inlineStr">
        <is>
          <t>3</t>
        </is>
      </c>
      <c r="B41" s="2" t="n">
        <v>120</v>
      </c>
      <c r="C41" s="2" t="n">
        <v>900</v>
      </c>
      <c r="D41" s="2" t="n">
        <v>90</v>
      </c>
      <c r="E41" s="2" t="n">
        <v>135</v>
      </c>
      <c r="F41" s="2" t="n">
        <v>1350</v>
      </c>
      <c r="G41" s="2" t="n">
        <v>135</v>
      </c>
      <c r="H41" s="2" t="n">
        <v>270</v>
      </c>
      <c r="I41" s="2" t="n">
        <v>0.368</v>
      </c>
      <c r="J41" s="2">
        <f>+G41*F41</f>
        <v/>
      </c>
      <c r="K41" s="2">
        <f>+H41*F41</f>
        <v/>
      </c>
      <c r="L41" s="2">
        <f>+PI()*(C41/2+D41)^2/(360/B41)</f>
        <v/>
      </c>
      <c r="M41" s="2">
        <f>1/2*(C41/2+D41)^2*SIN(B41/180*PI())</f>
        <v/>
      </c>
      <c r="N41" s="2">
        <f>(J41+K41-L41+M41)/1000000</f>
        <v/>
      </c>
      <c r="P41" s="2" t="inlineStr">
        <is>
          <t>2、3</t>
        </is>
      </c>
    </row>
    <row r="42">
      <c r="A42" s="2" t="inlineStr">
        <is>
          <t>3</t>
        </is>
      </c>
      <c r="B42" s="2" t="n">
        <v>120</v>
      </c>
      <c r="C42" s="2" t="n">
        <v>1000</v>
      </c>
      <c r="D42" s="2" t="n">
        <v>100</v>
      </c>
      <c r="E42" s="2" t="n">
        <v>150</v>
      </c>
      <c r="F42" s="2" t="n">
        <v>1500</v>
      </c>
      <c r="G42" s="2" t="n">
        <v>150</v>
      </c>
      <c r="H42" s="2" t="n">
        <v>300</v>
      </c>
      <c r="I42" s="2" t="n">
        <v>0.454</v>
      </c>
      <c r="J42" s="2">
        <f>+G42*F42</f>
        <v/>
      </c>
      <c r="K42" s="2">
        <f>+H42*F42</f>
        <v/>
      </c>
      <c r="L42" s="2">
        <f>+PI()*(C42/2+D42)^2/(360/B42)</f>
        <v/>
      </c>
      <c r="M42" s="2">
        <f>1/2*(C42/2+D42)^2*SIN(B42/180*PI())</f>
        <v/>
      </c>
      <c r="N42" s="2">
        <f>(J42+K42-L42+M42)/1000000</f>
        <v/>
      </c>
      <c r="P42" s="2" t="inlineStr">
        <is>
          <t>2、3</t>
        </is>
      </c>
    </row>
    <row r="43">
      <c r="A43" s="2" t="inlineStr">
        <is>
          <t>3</t>
        </is>
      </c>
      <c r="B43" s="2" t="n">
        <v>120</v>
      </c>
      <c r="C43" s="2" t="n">
        <v>1100</v>
      </c>
      <c r="D43" s="2" t="n">
        <v>110</v>
      </c>
      <c r="E43" s="2" t="n">
        <v>165</v>
      </c>
      <c r="F43" s="2" t="n">
        <v>1650</v>
      </c>
      <c r="G43" s="2" t="n">
        <v>165</v>
      </c>
      <c r="H43" s="2" t="n">
        <v>330</v>
      </c>
      <c r="I43" s="2" t="n">
        <v>0.549</v>
      </c>
      <c r="J43" s="2">
        <f>+G43*F43</f>
        <v/>
      </c>
      <c r="K43" s="2">
        <f>+H43*F43</f>
        <v/>
      </c>
      <c r="L43" s="2">
        <f>+PI()*(C43/2+D43)^2/(360/B43)</f>
        <v/>
      </c>
      <c r="M43" s="2">
        <f>1/2*(C43/2+D43)^2*SIN(B43/180*PI())</f>
        <v/>
      </c>
      <c r="N43" s="2">
        <f>(J43+K43-L43+M43)/1000000</f>
        <v/>
      </c>
      <c r="P43" s="2" t="inlineStr">
        <is>
          <t>2、3</t>
        </is>
      </c>
    </row>
    <row r="44">
      <c r="A44" s="2" t="inlineStr">
        <is>
          <t>3</t>
        </is>
      </c>
      <c r="B44" s="2" t="n">
        <v>120</v>
      </c>
      <c r="C44" s="2" t="n">
        <v>1200</v>
      </c>
      <c r="D44" s="2" t="n">
        <v>120</v>
      </c>
      <c r="E44" s="2" t="n">
        <v>180</v>
      </c>
      <c r="F44" s="2" t="n">
        <v>1800</v>
      </c>
      <c r="G44" s="2" t="n">
        <v>180</v>
      </c>
      <c r="H44" s="2" t="n">
        <v>360</v>
      </c>
      <c r="I44" s="2" t="n">
        <v>0.654</v>
      </c>
      <c r="J44" s="2">
        <f>+G44*F44</f>
        <v/>
      </c>
      <c r="K44" s="2">
        <f>+H44*F44</f>
        <v/>
      </c>
      <c r="L44" s="2">
        <f>+PI()*(C44/2+D44)^2/(360/B44)</f>
        <v/>
      </c>
      <c r="M44" s="2">
        <f>1/2*(C44/2+D44)^2*SIN(B44/180*PI())</f>
        <v/>
      </c>
      <c r="N44" s="2">
        <f>(J44+K44-L44+M44)/1000000</f>
        <v/>
      </c>
      <c r="P44" s="2" t="inlineStr">
        <is>
          <t>2、3</t>
        </is>
      </c>
    </row>
    <row r="45">
      <c r="A45" s="2" t="inlineStr">
        <is>
          <t>3</t>
        </is>
      </c>
      <c r="B45" s="2" t="n">
        <v>120</v>
      </c>
      <c r="C45" s="2" t="n">
        <v>1350</v>
      </c>
      <c r="D45" s="2" t="n">
        <v>135</v>
      </c>
      <c r="E45" s="2" t="n">
        <v>203</v>
      </c>
      <c r="F45" s="2" t="n">
        <v>2026</v>
      </c>
      <c r="G45" s="2" t="n">
        <v>203</v>
      </c>
      <c r="H45" s="2" t="n">
        <v>405</v>
      </c>
      <c r="I45" s="2" t="n">
        <v>0.827</v>
      </c>
      <c r="J45" s="2">
        <f>+G45*F45</f>
        <v/>
      </c>
      <c r="K45" s="2">
        <f>+H45*F45</f>
        <v/>
      </c>
      <c r="L45" s="2">
        <f>+PI()*(C45/2+D45)^2/(360/B45)</f>
        <v/>
      </c>
      <c r="M45" s="2">
        <f>1/2*(C45/2+D45)^2*SIN(B45/180*PI())</f>
        <v/>
      </c>
      <c r="N45" s="2">
        <f>(J45+K45-L45+M45)/1000000</f>
        <v/>
      </c>
      <c r="P45" s="2" t="inlineStr">
        <is>
          <t>2、3</t>
        </is>
      </c>
    </row>
    <row r="46">
      <c r="A46" s="2" t="inlineStr">
        <is>
          <t>3</t>
        </is>
      </c>
      <c r="B46" s="2" t="n">
        <v>120</v>
      </c>
      <c r="C46" s="2" t="n">
        <v>1500</v>
      </c>
      <c r="D46" s="2" t="n">
        <v>150</v>
      </c>
      <c r="E46" s="2" t="n">
        <v>225</v>
      </c>
      <c r="F46" s="2" t="n">
        <v>2250</v>
      </c>
      <c r="G46" s="2" t="n">
        <v>225</v>
      </c>
      <c r="H46" s="2" t="n">
        <v>450</v>
      </c>
      <c r="I46" s="2" t="n">
        <v>1.021</v>
      </c>
      <c r="J46" s="2">
        <f>+G46*F46</f>
        <v/>
      </c>
      <c r="K46" s="2">
        <f>+H46*F46</f>
        <v/>
      </c>
      <c r="L46" s="2">
        <f>+PI()*(C46/2+D46)^2/(360/B46)</f>
        <v/>
      </c>
      <c r="M46" s="2">
        <f>1/2*(C46/2+D46)^2*SIN(B46/180*PI())</f>
        <v/>
      </c>
      <c r="N46" s="2">
        <f>(J46+K46-L46+M46)/1000000</f>
        <v/>
      </c>
      <c r="P46" s="2" t="inlineStr">
        <is>
          <t>2、3</t>
        </is>
      </c>
    </row>
    <row r="47">
      <c r="A47" s="2" t="inlineStr">
        <is>
          <t>3</t>
        </is>
      </c>
      <c r="B47" s="2" t="n">
        <v>120</v>
      </c>
      <c r="C47" s="2" t="n">
        <v>1650</v>
      </c>
      <c r="D47" s="2" t="n">
        <v>165</v>
      </c>
      <c r="E47" s="2" t="n">
        <v>248</v>
      </c>
      <c r="F47" s="2" t="n">
        <v>2476</v>
      </c>
      <c r="G47" s="2" t="n">
        <v>248</v>
      </c>
      <c r="H47" s="2" t="n">
        <v>495</v>
      </c>
      <c r="I47" s="2" t="n">
        <v>1.237</v>
      </c>
      <c r="J47" s="2">
        <f>+G47*F47</f>
        <v/>
      </c>
      <c r="K47" s="2">
        <f>+H47*F47</f>
        <v/>
      </c>
      <c r="L47" s="2">
        <f>+PI()*(C47/2+D47)^2/(360/B47)</f>
        <v/>
      </c>
      <c r="M47" s="2">
        <f>1/2*(C47/2+D47)^2*SIN(B47/180*PI())</f>
        <v/>
      </c>
      <c r="N47" s="2">
        <f>(J47+K47-L47+M47)/1000000</f>
        <v/>
      </c>
      <c r="P47" s="2" t="inlineStr">
        <is>
          <t>2、3</t>
        </is>
      </c>
    </row>
    <row r="48">
      <c r="A48" s="2" t="inlineStr">
        <is>
          <t>3</t>
        </is>
      </c>
      <c r="B48" s="2" t="n">
        <v>120</v>
      </c>
      <c r="C48" s="2" t="n">
        <v>1800</v>
      </c>
      <c r="D48" s="2" t="n">
        <v>180</v>
      </c>
      <c r="E48" s="2" t="n">
        <v>270</v>
      </c>
      <c r="F48" s="2" t="n">
        <v>2700</v>
      </c>
      <c r="G48" s="2" t="n">
        <v>270</v>
      </c>
      <c r="H48" s="2" t="n">
        <v>540</v>
      </c>
      <c r="I48" s="2" t="n">
        <v>1.471</v>
      </c>
      <c r="J48" s="2">
        <f>+G48*F48</f>
        <v/>
      </c>
      <c r="K48" s="2">
        <f>+H48*F48</f>
        <v/>
      </c>
      <c r="L48" s="2">
        <f>+PI()*(C48/2+D48)^2/(360/B48)</f>
        <v/>
      </c>
      <c r="M48" s="2">
        <f>1/2*(C48/2+D48)^2*SIN(B48/180*PI())</f>
        <v/>
      </c>
      <c r="N48" s="2">
        <f>(J48+K48-L48+M48)/1000000</f>
        <v/>
      </c>
      <c r="P48" s="2" t="inlineStr">
        <is>
          <t>2、3</t>
        </is>
      </c>
    </row>
    <row r="49">
      <c r="A49" s="2" t="inlineStr">
        <is>
          <t>3</t>
        </is>
      </c>
      <c r="B49" s="2" t="n">
        <v>120</v>
      </c>
      <c r="C49" s="2" t="n">
        <v>2000</v>
      </c>
      <c r="D49" s="2" t="n">
        <v>200</v>
      </c>
      <c r="E49" s="2" t="n">
        <v>300</v>
      </c>
      <c r="F49" s="2" t="n">
        <v>3000</v>
      </c>
      <c r="G49" s="2" t="n">
        <v>300</v>
      </c>
      <c r="H49" s="2" t="n">
        <v>600</v>
      </c>
      <c r="I49" s="2" t="n">
        <v>1.816</v>
      </c>
      <c r="J49" s="2">
        <f>+G49*F49</f>
        <v/>
      </c>
      <c r="K49" s="2">
        <f>+H49*F49</f>
        <v/>
      </c>
      <c r="L49" s="2">
        <f>+PI()*(C49/2+D49)^2/(360/B49)</f>
        <v/>
      </c>
      <c r="M49" s="2">
        <f>1/2*(C49/2+D49)^2*SIN(B49/180*PI())</f>
        <v/>
      </c>
      <c r="N49" s="2">
        <f>(J49+K49-L49+M49)/1000000</f>
        <v/>
      </c>
      <c r="P49" s="2" t="inlineStr">
        <is>
          <t>2、3</t>
        </is>
      </c>
    </row>
    <row r="50">
      <c r="A50" s="2" t="inlineStr">
        <is>
          <t>3</t>
        </is>
      </c>
      <c r="B50" s="2" t="n">
        <v>120</v>
      </c>
      <c r="C50" s="2" t="n">
        <v>2200</v>
      </c>
      <c r="D50" s="2" t="n">
        <v>220</v>
      </c>
      <c r="E50" s="2" t="n">
        <v>330</v>
      </c>
      <c r="F50" s="2" t="n">
        <v>3300</v>
      </c>
      <c r="G50" s="2" t="n">
        <v>330</v>
      </c>
      <c r="H50" s="2" t="n">
        <v>660</v>
      </c>
      <c r="I50" s="2" t="n">
        <v>2.197</v>
      </c>
      <c r="J50" s="2">
        <f>+G50*F50</f>
        <v/>
      </c>
      <c r="K50" s="2">
        <f>+H50*F50</f>
        <v/>
      </c>
      <c r="L50" s="2">
        <f>+PI()*(C50/2+D50)^2/(360/B50)</f>
        <v/>
      </c>
      <c r="M50" s="2">
        <f>1/2*(C50/2+D50)^2*SIN(B50/180*PI())</f>
        <v/>
      </c>
      <c r="N50" s="2">
        <f>(J50+K50-L50+M50)/1000000</f>
        <v/>
      </c>
      <c r="P50" s="2" t="inlineStr">
        <is>
          <t>2、3</t>
        </is>
      </c>
    </row>
    <row r="51">
      <c r="A51" s="2" t="inlineStr">
        <is>
          <t>3</t>
        </is>
      </c>
      <c r="B51" s="2" t="n">
        <v>120</v>
      </c>
      <c r="C51" s="2" t="n">
        <v>2400</v>
      </c>
      <c r="D51" s="2" t="n">
        <v>230</v>
      </c>
      <c r="E51" s="2" t="n">
        <v>345</v>
      </c>
      <c r="F51" s="2" t="n">
        <v>3550</v>
      </c>
      <c r="G51" s="2" t="n">
        <v>345</v>
      </c>
      <c r="H51" s="2" t="n">
        <v>715</v>
      </c>
      <c r="I51" s="2" t="n">
        <v>2.507</v>
      </c>
      <c r="J51" s="2">
        <f>+G51*F51</f>
        <v/>
      </c>
      <c r="K51" s="2">
        <f>+H51*F51</f>
        <v/>
      </c>
      <c r="L51" s="2">
        <f>+PI()*(C51/2+D51)^2/(360/B51)</f>
        <v/>
      </c>
      <c r="M51" s="2">
        <f>1/2*(C51/2+D51)^2*SIN(B51/180*PI())</f>
        <v/>
      </c>
      <c r="N51" s="2">
        <f>(J51+K51-L51+M51)/1000000</f>
        <v/>
      </c>
      <c r="P51" s="2" t="inlineStr">
        <is>
          <t>2、3</t>
        </is>
      </c>
    </row>
    <row r="52">
      <c r="A52" s="2" t="inlineStr">
        <is>
          <t>3</t>
        </is>
      </c>
      <c r="B52" s="2" t="n">
        <v>120</v>
      </c>
      <c r="C52" s="2" t="n">
        <v>2600</v>
      </c>
      <c r="D52" s="2" t="n">
        <v>235</v>
      </c>
      <c r="E52" s="2" t="n">
        <v>353</v>
      </c>
      <c r="F52" s="2" t="n">
        <v>3776</v>
      </c>
      <c r="G52" s="2" t="n">
        <v>353</v>
      </c>
      <c r="H52" s="2" t="n">
        <v>768</v>
      </c>
      <c r="I52" s="2" t="n">
        <v>2.783</v>
      </c>
      <c r="J52" s="2">
        <f>+G52*F52</f>
        <v/>
      </c>
      <c r="K52" s="2">
        <f>+H52*F52</f>
        <v/>
      </c>
      <c r="L52" s="2">
        <f>+PI()*(C52/2+D52)^2/(360/B52)</f>
        <v/>
      </c>
      <c r="M52" s="2">
        <f>1/2*(C52/2+D52)^2*SIN(B52/180*PI())</f>
        <v/>
      </c>
      <c r="N52" s="2">
        <f>(J52+K52-L52+M52)/1000000</f>
        <v/>
      </c>
      <c r="P52" s="2" t="inlineStr">
        <is>
          <t>2、3</t>
        </is>
      </c>
    </row>
    <row r="53">
      <c r="A53" s="2" t="inlineStr">
        <is>
          <t>3</t>
        </is>
      </c>
      <c r="B53" s="2" t="n">
        <v>120</v>
      </c>
      <c r="C53" s="2" t="n">
        <v>2800</v>
      </c>
      <c r="D53" s="2" t="n">
        <v>255</v>
      </c>
      <c r="E53" s="2" t="n">
        <v>383</v>
      </c>
      <c r="F53" s="2" t="n">
        <v>4076</v>
      </c>
      <c r="G53" s="2" t="n">
        <v>383</v>
      </c>
      <c r="H53" s="2" t="n">
        <v>828</v>
      </c>
      <c r="I53" s="2" t="n">
        <v>3.251</v>
      </c>
      <c r="J53" s="2">
        <f>+G53*F53</f>
        <v/>
      </c>
      <c r="K53" s="2">
        <f>+H53*F53</f>
        <v/>
      </c>
      <c r="L53" s="2">
        <f>+PI()*(C53/2+D53)^2/(360/B53)</f>
        <v/>
      </c>
      <c r="M53" s="2">
        <f>1/2*(C53/2+D53)^2*SIN(B53/180*PI())</f>
        <v/>
      </c>
      <c r="N53" s="2">
        <f>(J53+K53-L53+M53)/1000000</f>
        <v/>
      </c>
      <c r="P53" s="2" t="inlineStr">
        <is>
          <t>2、3</t>
        </is>
      </c>
    </row>
    <row r="54">
      <c r="A54" s="2" t="inlineStr">
        <is>
          <t>3</t>
        </is>
      </c>
      <c r="B54" s="2" t="n">
        <v>120</v>
      </c>
      <c r="C54" s="2" t="n">
        <v>3000</v>
      </c>
      <c r="D54" s="2" t="n">
        <v>275</v>
      </c>
      <c r="E54" s="2" t="n">
        <v>413</v>
      </c>
      <c r="F54" s="2" t="n">
        <v>4376</v>
      </c>
      <c r="G54" s="2" t="n">
        <v>413</v>
      </c>
      <c r="H54" s="2" t="n">
        <v>888</v>
      </c>
      <c r="I54" s="2" t="n">
        <v>3.755</v>
      </c>
      <c r="J54" s="2">
        <f>+G54*F54</f>
        <v/>
      </c>
      <c r="K54" s="2">
        <f>+H54*F54</f>
        <v/>
      </c>
      <c r="L54" s="2">
        <f>+PI()*(C54/2+D54)^2/(360/B54)</f>
        <v/>
      </c>
      <c r="M54" s="2">
        <f>1/2*(C54/2+D54)^2*SIN(B54/180*PI())</f>
        <v/>
      </c>
      <c r="N54" s="2">
        <f>(J54+K54-L54+M54)/1000000</f>
        <v/>
      </c>
      <c r="P54" s="2" t="inlineStr">
        <is>
          <t>2、3</t>
        </is>
      </c>
    </row>
    <row r="55" customFormat="1" s="1">
      <c r="A55" s="3" t="inlineStr">
        <is>
          <t>06MS201-1</t>
        </is>
      </c>
      <c r="B55" s="3" t="n">
        <v>18</v>
      </c>
      <c r="C55" s="3" t="inlineStr">
        <is>
          <t>180°</t>
        </is>
      </c>
      <c r="D55" s="3" t="inlineStr">
        <is>
          <t>D=600~3000钢筋混凝土管（Ⅰ级管）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06MS201-1</t>
        </is>
      </c>
    </row>
    <row r="56">
      <c r="A56" s="2" t="n">
        <v>1</v>
      </c>
      <c r="B56" s="2" t="n">
        <v>180</v>
      </c>
      <c r="C56" s="2" t="n">
        <v>600</v>
      </c>
      <c r="D56" s="2" t="n">
        <v>55</v>
      </c>
      <c r="E56" s="2" t="n">
        <v>110</v>
      </c>
      <c r="F56" s="2" t="n">
        <v>930</v>
      </c>
      <c r="G56" s="2" t="n">
        <v>110</v>
      </c>
      <c r="H56" s="2" t="n">
        <v>355</v>
      </c>
      <c r="I56" s="2" t="n">
        <v>0.234</v>
      </c>
      <c r="J56" s="2">
        <f>+G56*F56</f>
        <v/>
      </c>
      <c r="K56" s="2">
        <f>+H56*F56</f>
        <v/>
      </c>
      <c r="L56" s="2">
        <f>+PI()*(C56/2+D56)^2/(360/B56)</f>
        <v/>
      </c>
      <c r="M56" s="2">
        <f>1/2*(C56/2+D56)^2*SIN(B56/180*PI())</f>
        <v/>
      </c>
      <c r="N56" s="2">
        <f>(J56+K56-L56+M56)/1000000</f>
        <v/>
      </c>
      <c r="P56" s="2" t="n">
        <v>1</v>
      </c>
    </row>
    <row r="57">
      <c r="A57" s="2" t="n">
        <v>1</v>
      </c>
      <c r="B57" s="2" t="n">
        <v>180</v>
      </c>
      <c r="C57" s="2" t="n">
        <v>700</v>
      </c>
      <c r="D57" s="2" t="n">
        <v>60</v>
      </c>
      <c r="E57" s="2" t="n">
        <v>120</v>
      </c>
      <c r="F57" s="2" t="n">
        <v>1060</v>
      </c>
      <c r="G57" s="2" t="n">
        <v>120</v>
      </c>
      <c r="H57" s="2" t="n">
        <v>410</v>
      </c>
      <c r="I57" s="2" t="n">
        <v>0.298</v>
      </c>
      <c r="J57" s="2">
        <f>+G57*F57</f>
        <v/>
      </c>
      <c r="K57" s="2">
        <f>+H57*F57</f>
        <v/>
      </c>
      <c r="L57" s="2">
        <f>+PI()*(C57/2+D57)^2/(360/B57)</f>
        <v/>
      </c>
      <c r="M57" s="2">
        <f>1/2*(C57/2+D57)^2*SIN(B57/180*PI())</f>
        <v/>
      </c>
      <c r="N57" s="2">
        <f>(J57+K57-L57+M57)/1000000</f>
        <v/>
      </c>
      <c r="P57" s="2" t="n">
        <v>1</v>
      </c>
    </row>
    <row r="58">
      <c r="A58" s="2" t="n">
        <v>1</v>
      </c>
      <c r="B58" s="2" t="n">
        <v>180</v>
      </c>
      <c r="C58" s="2" t="n">
        <v>800</v>
      </c>
      <c r="D58" s="2" t="n">
        <v>70</v>
      </c>
      <c r="E58" s="2" t="n">
        <v>140</v>
      </c>
      <c r="F58" s="2" t="n">
        <v>1220</v>
      </c>
      <c r="G58" s="2" t="n">
        <v>140</v>
      </c>
      <c r="H58" s="2" t="n">
        <v>470</v>
      </c>
      <c r="I58" s="2" t="n">
        <v>0.397</v>
      </c>
      <c r="J58" s="2">
        <f>+G58*F58</f>
        <v/>
      </c>
      <c r="K58" s="2">
        <f>+H58*F58</f>
        <v/>
      </c>
      <c r="L58" s="2">
        <f>+PI()*(C58/2+D58)^2/(360/B58)</f>
        <v/>
      </c>
      <c r="M58" s="2">
        <f>1/2*(C58/2+D58)^2*SIN(B58/180*PI())</f>
        <v/>
      </c>
      <c r="N58" s="2">
        <f>(J58+K58-L58+M58)/1000000</f>
        <v/>
      </c>
      <c r="P58" s="2" t="n">
        <v>1</v>
      </c>
    </row>
    <row r="59">
      <c r="A59" s="2" t="n">
        <v>1</v>
      </c>
      <c r="B59" s="2" t="n">
        <v>180</v>
      </c>
      <c r="C59" s="2" t="n">
        <v>900</v>
      </c>
      <c r="D59" s="2" t="n">
        <v>75</v>
      </c>
      <c r="E59" s="2" t="n">
        <v>150</v>
      </c>
      <c r="F59" s="2" t="n">
        <v>1350</v>
      </c>
      <c r="G59" s="2" t="n">
        <v>150</v>
      </c>
      <c r="H59" s="2" t="n">
        <v>525</v>
      </c>
      <c r="I59" s="2" t="n">
        <v>0.478</v>
      </c>
      <c r="J59" s="2">
        <f>+G59*F59</f>
        <v/>
      </c>
      <c r="K59" s="2">
        <f>+H59*F59</f>
        <v/>
      </c>
      <c r="L59" s="2">
        <f>+PI()*(C59/2+D59)^2/(360/B59)</f>
        <v/>
      </c>
      <c r="M59" s="2">
        <f>1/2*(C59/2+D59)^2*SIN(B59/180*PI())</f>
        <v/>
      </c>
      <c r="N59" s="2">
        <f>(J59+K59-L59+M59)/1000000</f>
        <v/>
      </c>
      <c r="P59" s="2" t="n">
        <v>1</v>
      </c>
    </row>
    <row r="60">
      <c r="A60" s="2" t="n">
        <v>1</v>
      </c>
      <c r="B60" s="2" t="n">
        <v>180</v>
      </c>
      <c r="C60" s="2" t="n">
        <v>1000</v>
      </c>
      <c r="D60" s="2" t="n">
        <v>85</v>
      </c>
      <c r="E60" s="2" t="n">
        <v>170</v>
      </c>
      <c r="F60" s="2" t="n">
        <v>1510</v>
      </c>
      <c r="G60" s="2" t="n">
        <v>170</v>
      </c>
      <c r="H60" s="2" t="n">
        <v>585</v>
      </c>
      <c r="I60" s="2" t="n">
        <v>0.602</v>
      </c>
      <c r="J60" s="2">
        <f>+G60*F60</f>
        <v/>
      </c>
      <c r="K60" s="2">
        <f>+H60*F60</f>
        <v/>
      </c>
      <c r="L60" s="2">
        <f>+PI()*(C60/2+D60)^2/(360/B60)</f>
        <v/>
      </c>
      <c r="M60" s="2">
        <f>1/2*(C60/2+D60)^2*SIN(B60/180*PI())</f>
        <v/>
      </c>
      <c r="N60" s="2">
        <f>(J60+K60-L60+M60)/1000000</f>
        <v/>
      </c>
      <c r="P60" s="2" t="n">
        <v>1</v>
      </c>
    </row>
    <row r="61">
      <c r="A61" s="2" t="n">
        <v>1</v>
      </c>
      <c r="B61" s="2" t="n">
        <v>180</v>
      </c>
      <c r="C61" s="2" t="n">
        <v>1100</v>
      </c>
      <c r="D61" s="2" t="n">
        <v>95</v>
      </c>
      <c r="E61" s="2" t="n">
        <v>190</v>
      </c>
      <c r="F61" s="2" t="n">
        <v>1670</v>
      </c>
      <c r="G61" s="2" t="n">
        <v>190</v>
      </c>
      <c r="H61" s="2" t="n">
        <v>645</v>
      </c>
      <c r="I61" s="2" t="n">
        <v>0.741</v>
      </c>
      <c r="J61" s="2">
        <f>+G61*F61</f>
        <v/>
      </c>
      <c r="K61" s="2">
        <f>+H61*F61</f>
        <v/>
      </c>
      <c r="L61" s="2">
        <f>+PI()*(C61/2+D61)^2/(360/B61)</f>
        <v/>
      </c>
      <c r="M61" s="2">
        <f>1/2*(C61/2+D61)^2*SIN(B61/180*PI())</f>
        <v/>
      </c>
      <c r="N61" s="2">
        <f>(J61+K61-L61+M61)/1000000</f>
        <v/>
      </c>
      <c r="P61" s="2" t="n">
        <v>1</v>
      </c>
    </row>
    <row r="62">
      <c r="A62" s="2" t="n">
        <v>1</v>
      </c>
      <c r="B62" s="2" t="n">
        <v>180</v>
      </c>
      <c r="C62" s="2" t="n">
        <v>1200</v>
      </c>
      <c r="D62" s="2" t="n">
        <v>100</v>
      </c>
      <c r="E62" s="2" t="n">
        <v>200</v>
      </c>
      <c r="F62" s="2" t="n">
        <v>1800</v>
      </c>
      <c r="G62" s="2" t="n">
        <v>200</v>
      </c>
      <c r="H62" s="2" t="n">
        <v>700</v>
      </c>
      <c r="I62" s="2" t="n">
        <v>0.85</v>
      </c>
      <c r="J62" s="2">
        <f>+G62*F62</f>
        <v/>
      </c>
      <c r="K62" s="2">
        <f>+H62*F62</f>
        <v/>
      </c>
      <c r="L62" s="2">
        <f>+PI()*(C62/2+D62)^2/(360/B62)</f>
        <v/>
      </c>
      <c r="M62" s="2">
        <f>1/2*(C62/2+D62)^2*SIN(B62/180*PI())</f>
        <v/>
      </c>
      <c r="N62" s="2">
        <f>(J62+K62-L62+M62)/1000000</f>
        <v/>
      </c>
      <c r="P62" s="2" t="n">
        <v>1</v>
      </c>
    </row>
    <row r="63">
      <c r="A63" s="2" t="n">
        <v>1</v>
      </c>
      <c r="B63" s="2" t="n">
        <v>180</v>
      </c>
      <c r="C63" s="2" t="n">
        <v>1350</v>
      </c>
      <c r="D63" s="2" t="n">
        <v>115</v>
      </c>
      <c r="E63" s="2" t="n">
        <v>230</v>
      </c>
      <c r="F63" s="2" t="n">
        <v>2040</v>
      </c>
      <c r="G63" s="2" t="n">
        <v>230</v>
      </c>
      <c r="H63" s="2" t="n">
        <v>790</v>
      </c>
      <c r="I63" s="2" t="n">
        <v>1.1</v>
      </c>
      <c r="J63" s="2">
        <f>+G63*F63</f>
        <v/>
      </c>
      <c r="K63" s="2">
        <f>+H63*F63</f>
        <v/>
      </c>
      <c r="L63" s="2">
        <f>+PI()*(C63/2+D63)^2/(360/B63)</f>
        <v/>
      </c>
      <c r="M63" s="2">
        <f>1/2*(C63/2+D63)^2*SIN(B63/180*PI())</f>
        <v/>
      </c>
      <c r="N63" s="2">
        <f>(J63+K63-L63+M63)/1000000</f>
        <v/>
      </c>
      <c r="P63" s="2" t="n">
        <v>1</v>
      </c>
    </row>
    <row r="64">
      <c r="A64" s="2" t="n">
        <v>1</v>
      </c>
      <c r="B64" s="2" t="n">
        <v>180</v>
      </c>
      <c r="C64" s="2" t="n">
        <v>1500</v>
      </c>
      <c r="D64" s="2" t="n">
        <v>125</v>
      </c>
      <c r="E64" s="2" t="n">
        <v>250</v>
      </c>
      <c r="F64" s="2" t="n">
        <v>2250</v>
      </c>
      <c r="G64" s="2" t="n">
        <v>250</v>
      </c>
      <c r="H64" s="2" t="n">
        <v>875</v>
      </c>
      <c r="I64" s="2" t="n">
        <v>1.329</v>
      </c>
      <c r="J64" s="2">
        <f>+G64*F64</f>
        <v/>
      </c>
      <c r="K64" s="2">
        <f>+H64*F64</f>
        <v/>
      </c>
      <c r="L64" s="2">
        <f>+PI()*(C64/2+D64)^2/(360/B64)</f>
        <v/>
      </c>
      <c r="M64" s="2">
        <f>1/2*(C64/2+D64)^2*SIN(B64/180*PI())</f>
        <v/>
      </c>
      <c r="N64" s="2">
        <f>(J64+K64-L64+M64)/1000000</f>
        <v/>
      </c>
      <c r="P64" s="2" t="n">
        <v>1</v>
      </c>
    </row>
    <row r="65">
      <c r="A65" s="2" t="n">
        <v>1</v>
      </c>
      <c r="B65" s="2" t="n">
        <v>180</v>
      </c>
      <c r="C65" s="2" t="n">
        <v>1650</v>
      </c>
      <c r="D65" s="2" t="n">
        <v>140</v>
      </c>
      <c r="E65" s="2" t="n">
        <v>280</v>
      </c>
      <c r="F65" s="2" t="n">
        <v>2490</v>
      </c>
      <c r="G65" s="2" t="n">
        <v>280</v>
      </c>
      <c r="H65" s="2" t="n">
        <v>965</v>
      </c>
      <c r="I65" s="2" t="n">
        <v>1.637</v>
      </c>
      <c r="J65" s="2">
        <f>+G65*F65</f>
        <v/>
      </c>
      <c r="K65" s="2">
        <f>+H65*F65</f>
        <v/>
      </c>
      <c r="L65" s="2">
        <f>+PI()*(C65/2+D65)^2/(360/B65)</f>
        <v/>
      </c>
      <c r="M65" s="2">
        <f>1/2*(C65/2+D65)^2*SIN(B65/180*PI())</f>
        <v/>
      </c>
      <c r="N65" s="2">
        <f>(J65+K65-L65+M65)/1000000</f>
        <v/>
      </c>
      <c r="P65" s="2" t="n">
        <v>1</v>
      </c>
    </row>
    <row r="66">
      <c r="A66" s="2" t="n">
        <v>1</v>
      </c>
      <c r="B66" s="2" t="n">
        <v>180</v>
      </c>
      <c r="C66" s="2" t="n">
        <v>1800</v>
      </c>
      <c r="D66" s="2" t="n">
        <v>150</v>
      </c>
      <c r="E66" s="2" t="n">
        <v>300</v>
      </c>
      <c r="F66" s="2" t="n">
        <v>2700</v>
      </c>
      <c r="G66" s="2" t="n">
        <v>300</v>
      </c>
      <c r="H66" s="2" t="n">
        <v>1050</v>
      </c>
      <c r="I66" s="2" t="n">
        <v>1.913</v>
      </c>
      <c r="J66" s="2">
        <f>+G66*F66</f>
        <v/>
      </c>
      <c r="K66" s="2">
        <f>+H66*F66</f>
        <v/>
      </c>
      <c r="L66" s="2">
        <f>+PI()*(C66/2+D66)^2/(360/B66)</f>
        <v/>
      </c>
      <c r="M66" s="2">
        <f>1/2*(C66/2+D66)^2*SIN(B66/180*PI())</f>
        <v/>
      </c>
      <c r="N66" s="2">
        <f>(J66+K66-L66+M66)/1000000</f>
        <v/>
      </c>
      <c r="P66" s="2" t="n">
        <v>1</v>
      </c>
    </row>
    <row r="67">
      <c r="A67" s="2" t="n">
        <v>1</v>
      </c>
      <c r="B67" s="2" t="n">
        <v>180</v>
      </c>
      <c r="C67" s="2" t="n">
        <v>2000</v>
      </c>
      <c r="D67" s="2" t="n">
        <v>170</v>
      </c>
      <c r="E67" s="2" t="n">
        <v>340</v>
      </c>
      <c r="F67" s="2" t="n">
        <v>3020</v>
      </c>
      <c r="G67" s="2" t="n">
        <v>340</v>
      </c>
      <c r="H67" s="2" t="n">
        <v>1170</v>
      </c>
      <c r="I67" s="2" t="n">
        <v>2.41</v>
      </c>
      <c r="J67" s="2">
        <f>+G67*F67</f>
        <v/>
      </c>
      <c r="K67" s="2">
        <f>+H67*F67</f>
        <v/>
      </c>
      <c r="L67" s="2">
        <f>+PI()*(C67/2+D67)^2/(360/B67)</f>
        <v/>
      </c>
      <c r="M67" s="2">
        <f>1/2*(C67/2+D67)^2*SIN(B67/180*PI())</f>
        <v/>
      </c>
      <c r="N67" s="2">
        <f>(J67+K67-L67+M67)/1000000</f>
        <v/>
      </c>
      <c r="P67" s="2" t="n">
        <v>1</v>
      </c>
    </row>
    <row r="68">
      <c r="A68" s="2" t="n">
        <v>1</v>
      </c>
      <c r="B68" s="2" t="n">
        <v>180</v>
      </c>
      <c r="C68" s="2" t="n">
        <v>2200</v>
      </c>
      <c r="D68" s="2" t="n">
        <v>185</v>
      </c>
      <c r="E68" s="2" t="n">
        <v>370</v>
      </c>
      <c r="F68" s="2" t="n">
        <v>3310</v>
      </c>
      <c r="G68" s="2" t="n">
        <v>370</v>
      </c>
      <c r="H68" s="2" t="n">
        <v>1285</v>
      </c>
      <c r="I68" s="2" t="n">
        <v>2.884</v>
      </c>
      <c r="J68" s="2">
        <f>+G68*F68</f>
        <v/>
      </c>
      <c r="K68" s="2">
        <f>+H68*F68</f>
        <v/>
      </c>
      <c r="L68" s="2">
        <f>+PI()*(C68/2+D68)^2/(360/B68)</f>
        <v/>
      </c>
      <c r="M68" s="2">
        <f>1/2*(C68/2+D68)^2*SIN(B68/180*PI())</f>
        <v/>
      </c>
      <c r="N68" s="2">
        <f>(J68+K68-L68+M68)/1000000</f>
        <v/>
      </c>
      <c r="P68" s="2" t="n">
        <v>1</v>
      </c>
    </row>
    <row r="69">
      <c r="A69" s="2" t="n">
        <v>1</v>
      </c>
      <c r="B69" s="2" t="n">
        <v>180</v>
      </c>
      <c r="C69" s="2" t="n">
        <v>2400</v>
      </c>
      <c r="D69" s="2" t="n">
        <v>200</v>
      </c>
      <c r="E69" s="2" t="n">
        <v>400</v>
      </c>
      <c r="F69" s="2" t="n">
        <v>3600</v>
      </c>
      <c r="G69" s="2" t="n">
        <v>400</v>
      </c>
      <c r="H69" s="2" t="n">
        <v>1400</v>
      </c>
      <c r="I69" s="2" t="n">
        <v>3.401</v>
      </c>
      <c r="J69" s="2">
        <f>+G69*F69</f>
        <v/>
      </c>
      <c r="K69" s="2">
        <f>+H69*F69</f>
        <v/>
      </c>
      <c r="L69" s="2">
        <f>+PI()*(C69/2+D69)^2/(360/B69)</f>
        <v/>
      </c>
      <c r="M69" s="2">
        <f>1/2*(C69/2+D69)^2*SIN(B69/180*PI())</f>
        <v/>
      </c>
      <c r="N69" s="2">
        <f>(J69+K69-L69+M69)/1000000</f>
        <v/>
      </c>
      <c r="P69" s="2" t="n">
        <v>1</v>
      </c>
    </row>
    <row r="70">
      <c r="A70" s="2" t="n">
        <v>1</v>
      </c>
      <c r="B70" s="2" t="n">
        <v>180</v>
      </c>
      <c r="C70" s="2" t="n">
        <v>2600</v>
      </c>
      <c r="D70" s="2" t="n">
        <v>220</v>
      </c>
      <c r="E70" s="2" t="n">
        <v>440</v>
      </c>
      <c r="F70" s="2" t="n">
        <v>3920</v>
      </c>
      <c r="G70" s="2" t="n">
        <v>440</v>
      </c>
      <c r="H70" s="2" t="n">
        <v>1520</v>
      </c>
      <c r="I70" s="2" t="n">
        <v>4.054</v>
      </c>
      <c r="J70" s="2">
        <f>+G70*F70</f>
        <v/>
      </c>
      <c r="K70" s="2">
        <f>+H70*F70</f>
        <v/>
      </c>
      <c r="L70" s="2">
        <f>+PI()*(C70/2+D70)^2/(360/B70)</f>
        <v/>
      </c>
      <c r="M70" s="2">
        <f>1/2*(C70/2+D70)^2*SIN(B70/180*PI())</f>
        <v/>
      </c>
      <c r="N70" s="2">
        <f>(J70+K70-L70+M70)/1000000</f>
        <v/>
      </c>
      <c r="P70" s="2" t="n">
        <v>1</v>
      </c>
    </row>
    <row r="71">
      <c r="A71" s="2" t="n">
        <v>1</v>
      </c>
      <c r="B71" s="2" t="n">
        <v>180</v>
      </c>
      <c r="C71" s="2" t="n">
        <v>2800</v>
      </c>
      <c r="D71" s="2" t="n">
        <v>235</v>
      </c>
      <c r="E71" s="2" t="n">
        <v>470</v>
      </c>
      <c r="F71" s="2" t="n">
        <v>4210</v>
      </c>
      <c r="G71" s="2" t="n">
        <v>470</v>
      </c>
      <c r="H71" s="2" t="n">
        <v>1635</v>
      </c>
      <c r="I71" s="2" t="n">
        <v>4.663</v>
      </c>
      <c r="J71" s="2">
        <f>+G71*F71</f>
        <v/>
      </c>
      <c r="K71" s="2">
        <f>+H71*F71</f>
        <v/>
      </c>
      <c r="L71" s="2">
        <f>+PI()*(C71/2+D71)^2/(360/B71)</f>
        <v/>
      </c>
      <c r="M71" s="2">
        <f>1/2*(C71/2+D71)^2*SIN(B71/180*PI())</f>
        <v/>
      </c>
      <c r="N71" s="2">
        <f>(J71+K71-L71+M71)/1000000</f>
        <v/>
      </c>
      <c r="P71" s="2" t="n">
        <v>1</v>
      </c>
    </row>
    <row r="72">
      <c r="A72" s="2" t="n">
        <v>1</v>
      </c>
      <c r="B72" s="2" t="n">
        <v>180</v>
      </c>
      <c r="C72" s="2" t="n">
        <v>3000</v>
      </c>
      <c r="D72" s="2" t="n">
        <v>250</v>
      </c>
      <c r="E72" s="2" t="n">
        <v>500</v>
      </c>
      <c r="F72" s="2" t="n">
        <v>4500</v>
      </c>
      <c r="G72" s="2" t="n">
        <v>500</v>
      </c>
      <c r="H72" s="2" t="n">
        <v>1750</v>
      </c>
      <c r="I72" s="2" t="n">
        <v>5.314</v>
      </c>
      <c r="J72" s="2">
        <f>+G72*F72</f>
        <v/>
      </c>
      <c r="K72" s="2">
        <f>+H72*F72</f>
        <v/>
      </c>
      <c r="L72" s="2">
        <f>+PI()*(C72/2+D72)^2/(360/B72)</f>
        <v/>
      </c>
      <c r="M72" s="2">
        <f>1/2*(C72/2+D72)^2*SIN(B72/180*PI())</f>
        <v/>
      </c>
      <c r="N72" s="2">
        <f>(J72+K72-L72+M72)/1000000</f>
        <v/>
      </c>
      <c r="P72" s="2" t="n">
        <v>1</v>
      </c>
    </row>
    <row r="73" customFormat="1" s="1">
      <c r="A73" s="3" t="inlineStr">
        <is>
          <t>06MS201-1</t>
        </is>
      </c>
      <c r="B73" s="3" t="n">
        <v>19</v>
      </c>
      <c r="C73" s="3" t="inlineStr">
        <is>
          <t>180°</t>
        </is>
      </c>
      <c r="D73" s="3" t="inlineStr">
        <is>
          <t>D=600~3000钢筋混凝土管（Ⅱ、Ⅲ级管）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06MS201-1</t>
        </is>
      </c>
    </row>
    <row r="74">
      <c r="A74" s="2" t="inlineStr">
        <is>
          <t>2</t>
        </is>
      </c>
      <c r="B74" s="2" t="n">
        <v>180</v>
      </c>
      <c r="C74" s="2" t="n">
        <v>600</v>
      </c>
      <c r="D74" s="2" t="n">
        <v>60</v>
      </c>
      <c r="E74" s="2" t="n">
        <v>120</v>
      </c>
      <c r="F74" s="2" t="n">
        <v>960</v>
      </c>
      <c r="G74" s="2" t="n">
        <v>120</v>
      </c>
      <c r="H74" s="2" t="n">
        <v>360</v>
      </c>
      <c r="I74" s="2" t="n">
        <v>0.257</v>
      </c>
      <c r="J74" s="2">
        <f>+G74*F74</f>
        <v/>
      </c>
      <c r="K74" s="2">
        <f>+H74*F74</f>
        <v/>
      </c>
      <c r="L74" s="2">
        <f>+PI()*(C74/2+D74)^2/(360/B74)</f>
        <v/>
      </c>
      <c r="M74" s="2">
        <f>1/2*(C74/2+D74)^2*SIN(B74/180*PI())</f>
        <v/>
      </c>
      <c r="N74" s="2">
        <f>(J74+K74-L74+M74)/1000000</f>
        <v/>
      </c>
      <c r="P74" s="2" t="inlineStr">
        <is>
          <t>2、3</t>
        </is>
      </c>
    </row>
    <row r="75">
      <c r="A75" s="2" t="inlineStr">
        <is>
          <t>2</t>
        </is>
      </c>
      <c r="B75" s="2" t="n">
        <v>180</v>
      </c>
      <c r="C75" s="2" t="n">
        <v>700</v>
      </c>
      <c r="D75" s="2" t="n">
        <v>70</v>
      </c>
      <c r="E75" s="2" t="n">
        <v>140</v>
      </c>
      <c r="F75" s="2" t="n">
        <v>1120</v>
      </c>
      <c r="G75" s="2" t="n">
        <v>140</v>
      </c>
      <c r="H75" s="2" t="n">
        <v>420</v>
      </c>
      <c r="I75" s="2" t="n">
        <v>0.35</v>
      </c>
      <c r="J75" s="2">
        <f>+G75*F75</f>
        <v/>
      </c>
      <c r="K75" s="2">
        <f>+H75*F75</f>
        <v/>
      </c>
      <c r="L75" s="2">
        <f>+PI()*(C75/2+D75)^2/(360/B75)</f>
        <v/>
      </c>
      <c r="M75" s="2">
        <f>1/2*(C75/2+D75)^2*SIN(B75/180*PI())</f>
        <v/>
      </c>
      <c r="N75" s="2">
        <f>(J75+K75-L75+M75)/1000000</f>
        <v/>
      </c>
      <c r="P75" s="2" t="inlineStr">
        <is>
          <t>2、3</t>
        </is>
      </c>
    </row>
    <row r="76">
      <c r="A76" s="2" t="inlineStr">
        <is>
          <t>2</t>
        </is>
      </c>
      <c r="B76" s="2" t="n">
        <v>180</v>
      </c>
      <c r="C76" s="2" t="n">
        <v>800</v>
      </c>
      <c r="D76" s="2" t="n">
        <v>80</v>
      </c>
      <c r="E76" s="2" t="n">
        <v>160</v>
      </c>
      <c r="F76" s="2" t="n">
        <v>1280</v>
      </c>
      <c r="G76" s="2" t="n">
        <v>160</v>
      </c>
      <c r="H76" s="2" t="n">
        <v>480</v>
      </c>
      <c r="I76" s="2" t="n">
        <v>0.457</v>
      </c>
      <c r="J76" s="2">
        <f>+G76*F76</f>
        <v/>
      </c>
      <c r="K76" s="2">
        <f>+H76*F76</f>
        <v/>
      </c>
      <c r="L76" s="2">
        <f>+PI()*(C76/2+D76)^2/(360/B76)</f>
        <v/>
      </c>
      <c r="M76" s="2">
        <f>1/2*(C76/2+D76)^2*SIN(B76/180*PI())</f>
        <v/>
      </c>
      <c r="N76" s="2">
        <f>(J76+K76-L76+M76)/1000000</f>
        <v/>
      </c>
      <c r="P76" s="2" t="inlineStr">
        <is>
          <t>2、3</t>
        </is>
      </c>
    </row>
    <row r="77">
      <c r="A77" s="2" t="inlineStr">
        <is>
          <t>2</t>
        </is>
      </c>
      <c r="B77" s="2" t="n">
        <v>180</v>
      </c>
      <c r="C77" s="2" t="n">
        <v>900</v>
      </c>
      <c r="D77" s="2" t="n">
        <v>90</v>
      </c>
      <c r="E77" s="2" t="n">
        <v>180</v>
      </c>
      <c r="F77" s="2" t="n">
        <v>1440</v>
      </c>
      <c r="G77" s="2" t="n">
        <v>180</v>
      </c>
      <c r="H77" s="2" t="n">
        <v>540</v>
      </c>
      <c r="I77" s="2" t="n">
        <v>0.579</v>
      </c>
      <c r="J77" s="2">
        <f>+G77*F77</f>
        <v/>
      </c>
      <c r="K77" s="2">
        <f>+H77*F77</f>
        <v/>
      </c>
      <c r="L77" s="2">
        <f>+PI()*(C77/2+D77)^2/(360/B77)</f>
        <v/>
      </c>
      <c r="M77" s="2">
        <f>1/2*(C77/2+D77)^2*SIN(B77/180*PI())</f>
        <v/>
      </c>
      <c r="N77" s="2">
        <f>(J77+K77-L77+M77)/1000000</f>
        <v/>
      </c>
      <c r="P77" s="2" t="inlineStr">
        <is>
          <t>2、3</t>
        </is>
      </c>
    </row>
    <row r="78">
      <c r="A78" s="2" t="inlineStr">
        <is>
          <t>2</t>
        </is>
      </c>
      <c r="B78" s="2" t="n">
        <v>180</v>
      </c>
      <c r="C78" s="2" t="n">
        <v>1000</v>
      </c>
      <c r="D78" s="2" t="n">
        <v>100</v>
      </c>
      <c r="E78" s="2" t="n">
        <v>200</v>
      </c>
      <c r="F78" s="2" t="n">
        <v>1600</v>
      </c>
      <c r="G78" s="2" t="n">
        <v>200</v>
      </c>
      <c r="H78" s="2" t="n">
        <v>600</v>
      </c>
      <c r="I78" s="2" t="n">
        <v>0.715</v>
      </c>
      <c r="J78" s="2">
        <f>+G78*F78</f>
        <v/>
      </c>
      <c r="K78" s="2">
        <f>+H78*F78</f>
        <v/>
      </c>
      <c r="L78" s="2">
        <f>+PI()*(C78/2+D78)^2/(360/B78)</f>
        <v/>
      </c>
      <c r="M78" s="2">
        <f>1/2*(C78/2+D78)^2*SIN(B78/180*PI())</f>
        <v/>
      </c>
      <c r="N78" s="2">
        <f>(J78+K78-L78+M78)/1000000</f>
        <v/>
      </c>
      <c r="P78" s="2" t="inlineStr">
        <is>
          <t>2、3</t>
        </is>
      </c>
    </row>
    <row r="79">
      <c r="A79" s="2" t="inlineStr">
        <is>
          <t>2</t>
        </is>
      </c>
      <c r="B79" s="2" t="n">
        <v>180</v>
      </c>
      <c r="C79" s="2" t="n">
        <v>1100</v>
      </c>
      <c r="D79" s="2" t="n">
        <v>110</v>
      </c>
      <c r="E79" s="2" t="n">
        <v>220</v>
      </c>
      <c r="F79" s="2" t="n">
        <v>1760</v>
      </c>
      <c r="G79" s="2" t="n">
        <v>220</v>
      </c>
      <c r="H79" s="2" t="n">
        <v>660</v>
      </c>
      <c r="I79" s="2" t="n">
        <v>0.865</v>
      </c>
      <c r="J79" s="2">
        <f>+G79*F79</f>
        <v/>
      </c>
      <c r="K79" s="2">
        <f>+H79*F79</f>
        <v/>
      </c>
      <c r="L79" s="2">
        <f>+PI()*(C79/2+D79)^2/(360/B79)</f>
        <v/>
      </c>
      <c r="M79" s="2">
        <f>1/2*(C79/2+D79)^2*SIN(B79/180*PI())</f>
        <v/>
      </c>
      <c r="N79" s="2">
        <f>(J79+K79-L79+M79)/1000000</f>
        <v/>
      </c>
      <c r="P79" s="2" t="inlineStr">
        <is>
          <t>2、3</t>
        </is>
      </c>
    </row>
    <row r="80">
      <c r="A80" s="2" t="inlineStr">
        <is>
          <t>2</t>
        </is>
      </c>
      <c r="B80" s="2" t="n">
        <v>180</v>
      </c>
      <c r="C80" s="2" t="n">
        <v>1200</v>
      </c>
      <c r="D80" s="2" t="n">
        <v>120</v>
      </c>
      <c r="E80" s="2" t="n">
        <v>240</v>
      </c>
      <c r="F80" s="2" t="n">
        <v>1920</v>
      </c>
      <c r="G80" s="2" t="n">
        <v>240</v>
      </c>
      <c r="H80" s="2" t="n">
        <v>720</v>
      </c>
      <c r="I80" s="2" t="n">
        <v>1.029</v>
      </c>
      <c r="J80" s="2">
        <f>+G80*F80</f>
        <v/>
      </c>
      <c r="K80" s="2">
        <f>+H80*F80</f>
        <v/>
      </c>
      <c r="L80" s="2">
        <f>+PI()*(C80/2+D80)^2/(360/B80)</f>
        <v/>
      </c>
      <c r="M80" s="2">
        <f>1/2*(C80/2+D80)^2*SIN(B80/180*PI())</f>
        <v/>
      </c>
      <c r="N80" s="2">
        <f>(J80+K80-L80+M80)/1000000</f>
        <v/>
      </c>
      <c r="P80" s="2" t="inlineStr">
        <is>
          <t>2、3</t>
        </is>
      </c>
    </row>
    <row r="81">
      <c r="A81" s="2" t="inlineStr">
        <is>
          <t>2</t>
        </is>
      </c>
      <c r="B81" s="2" t="n">
        <v>180</v>
      </c>
      <c r="C81" s="2" t="n">
        <v>1350</v>
      </c>
      <c r="D81" s="2" t="n">
        <v>135</v>
      </c>
      <c r="E81" s="2" t="n">
        <v>270</v>
      </c>
      <c r="F81" s="2" t="n">
        <v>2160</v>
      </c>
      <c r="G81" s="2" t="n">
        <v>270</v>
      </c>
      <c r="H81" s="2" t="n">
        <v>810</v>
      </c>
      <c r="I81" s="2" t="n">
        <v>1.302</v>
      </c>
      <c r="J81" s="2">
        <f>+G81*F81</f>
        <v/>
      </c>
      <c r="K81" s="2">
        <f>+H81*F81</f>
        <v/>
      </c>
      <c r="L81" s="2">
        <f>+PI()*(C81/2+D81)^2/(360/B81)</f>
        <v/>
      </c>
      <c r="M81" s="2">
        <f>1/2*(C81/2+D81)^2*SIN(B81/180*PI())</f>
        <v/>
      </c>
      <c r="N81" s="2">
        <f>(J81+K81-L81+M81)/1000000</f>
        <v/>
      </c>
      <c r="P81" s="2" t="inlineStr">
        <is>
          <t>2、3</t>
        </is>
      </c>
    </row>
    <row r="82">
      <c r="A82" s="2" t="inlineStr">
        <is>
          <t>2</t>
        </is>
      </c>
      <c r="B82" s="2" t="n">
        <v>180</v>
      </c>
      <c r="C82" s="2" t="n">
        <v>1500</v>
      </c>
      <c r="D82" s="2" t="n">
        <v>150</v>
      </c>
      <c r="E82" s="2" t="n">
        <v>300</v>
      </c>
      <c r="F82" s="2" t="n">
        <v>2400</v>
      </c>
      <c r="G82" s="2" t="n">
        <v>300</v>
      </c>
      <c r="H82" s="2" t="n">
        <v>900</v>
      </c>
      <c r="I82" s="2" t="n">
        <v>1.608</v>
      </c>
      <c r="J82" s="2">
        <f>+G82*F82</f>
        <v/>
      </c>
      <c r="K82" s="2">
        <f>+H82*F82</f>
        <v/>
      </c>
      <c r="L82" s="2">
        <f>+PI()*(C82/2+D82)^2/(360/B82)</f>
        <v/>
      </c>
      <c r="M82" s="2">
        <f>1/2*(C82/2+D82)^2*SIN(B82/180*PI())</f>
        <v/>
      </c>
      <c r="N82" s="2">
        <f>(J82+K82-L82+M82)/1000000</f>
        <v/>
      </c>
      <c r="P82" s="2" t="inlineStr">
        <is>
          <t>2、3</t>
        </is>
      </c>
    </row>
    <row r="83">
      <c r="A83" s="2" t="inlineStr">
        <is>
          <t>2</t>
        </is>
      </c>
      <c r="B83" s="2" t="n">
        <v>180</v>
      </c>
      <c r="C83" s="2" t="n">
        <v>1650</v>
      </c>
      <c r="D83" s="2" t="n">
        <v>165</v>
      </c>
      <c r="E83" s="2" t="n">
        <v>330</v>
      </c>
      <c r="F83" s="2" t="n">
        <v>2640</v>
      </c>
      <c r="G83" s="2" t="n">
        <v>330</v>
      </c>
      <c r="H83" s="2" t="n">
        <v>990</v>
      </c>
      <c r="I83" s="2" t="n">
        <v>1.945</v>
      </c>
      <c r="J83" s="2">
        <f>+G83*F83</f>
        <v/>
      </c>
      <c r="K83" s="2">
        <f>+H83*F83</f>
        <v/>
      </c>
      <c r="L83" s="2">
        <f>+PI()*(C83/2+D83)^2/(360/B83)</f>
        <v/>
      </c>
      <c r="M83" s="2">
        <f>1/2*(C83/2+D83)^2*SIN(B83/180*PI())</f>
        <v/>
      </c>
      <c r="N83" s="2">
        <f>(J83+K83-L83+M83)/1000000</f>
        <v/>
      </c>
      <c r="P83" s="2" t="inlineStr">
        <is>
          <t>2、3</t>
        </is>
      </c>
    </row>
    <row r="84">
      <c r="A84" s="2" t="inlineStr">
        <is>
          <t>2</t>
        </is>
      </c>
      <c r="B84" s="2" t="n">
        <v>180</v>
      </c>
      <c r="C84" s="2" t="n">
        <v>1800</v>
      </c>
      <c r="D84" s="2" t="n">
        <v>180</v>
      </c>
      <c r="E84" s="2" t="n">
        <v>360</v>
      </c>
      <c r="F84" s="2" t="n">
        <v>2880</v>
      </c>
      <c r="G84" s="2" t="n">
        <v>360</v>
      </c>
      <c r="H84" s="2" t="n">
        <v>1080</v>
      </c>
      <c r="I84" s="2" t="n">
        <v>2.315</v>
      </c>
      <c r="J84" s="2">
        <f>+G84*F84</f>
        <v/>
      </c>
      <c r="K84" s="2">
        <f>+H84*F84</f>
        <v/>
      </c>
      <c r="L84" s="2">
        <f>+PI()*(C84/2+D84)^2/(360/B84)</f>
        <v/>
      </c>
      <c r="M84" s="2">
        <f>1/2*(C84/2+D84)^2*SIN(B84/180*PI())</f>
        <v/>
      </c>
      <c r="N84" s="2">
        <f>(J84+K84-L84+M84)/1000000</f>
        <v/>
      </c>
      <c r="P84" s="2" t="inlineStr">
        <is>
          <t>2、3</t>
        </is>
      </c>
    </row>
    <row r="85">
      <c r="A85" s="2" t="inlineStr">
        <is>
          <t>2</t>
        </is>
      </c>
      <c r="B85" s="2" t="n">
        <v>180</v>
      </c>
      <c r="C85" s="2" t="n">
        <v>2000</v>
      </c>
      <c r="D85" s="2" t="n">
        <v>200</v>
      </c>
      <c r="E85" s="2" t="n">
        <v>400</v>
      </c>
      <c r="F85" s="2" t="n">
        <v>3200</v>
      </c>
      <c r="G85" s="2" t="n">
        <v>400</v>
      </c>
      <c r="H85" s="2" t="n">
        <v>1200</v>
      </c>
      <c r="I85" s="2" t="n">
        <v>2.858</v>
      </c>
      <c r="J85" s="2">
        <f>+G85*F85</f>
        <v/>
      </c>
      <c r="K85" s="2">
        <f>+H85*F85</f>
        <v/>
      </c>
      <c r="L85" s="2">
        <f>+PI()*(C85/2+D85)^2/(360/B85)</f>
        <v/>
      </c>
      <c r="M85" s="2">
        <f>1/2*(C85/2+D85)^2*SIN(B85/180*PI())</f>
        <v/>
      </c>
      <c r="N85" s="2">
        <f>(J85+K85-L85+M85)/1000000</f>
        <v/>
      </c>
      <c r="P85" s="2" t="inlineStr">
        <is>
          <t>2、3</t>
        </is>
      </c>
    </row>
    <row r="86">
      <c r="A86" s="2" t="inlineStr">
        <is>
          <t>2</t>
        </is>
      </c>
      <c r="B86" s="2" t="n">
        <v>180</v>
      </c>
      <c r="C86" s="2" t="n">
        <v>2200</v>
      </c>
      <c r="D86" s="2" t="n">
        <v>220</v>
      </c>
      <c r="E86" s="2" t="n">
        <v>440</v>
      </c>
      <c r="F86" s="2" t="n">
        <v>3520</v>
      </c>
      <c r="G86" s="2" t="n">
        <v>440</v>
      </c>
      <c r="H86" s="2" t="n">
        <v>1320</v>
      </c>
      <c r="I86" s="2" t="n">
        <v>3.458</v>
      </c>
      <c r="J86" s="2">
        <f>+G86*F86</f>
        <v/>
      </c>
      <c r="K86" s="2">
        <f>+H86*F86</f>
        <v/>
      </c>
      <c r="L86" s="2">
        <f>+PI()*(C86/2+D86)^2/(360/B86)</f>
        <v/>
      </c>
      <c r="M86" s="2">
        <f>1/2*(C86/2+D86)^2*SIN(B86/180*PI())</f>
        <v/>
      </c>
      <c r="N86" s="2">
        <f>(J86+K86-L86+M86)/1000000</f>
        <v/>
      </c>
      <c r="P86" s="2" t="inlineStr">
        <is>
          <t>2、3</t>
        </is>
      </c>
    </row>
    <row r="87">
      <c r="A87" s="2" t="inlineStr">
        <is>
          <t>2</t>
        </is>
      </c>
      <c r="B87" s="2" t="n">
        <v>180</v>
      </c>
      <c r="C87" s="2" t="n">
        <v>2400</v>
      </c>
      <c r="D87" s="2" t="n">
        <v>230</v>
      </c>
      <c r="E87" s="2" t="n">
        <v>460</v>
      </c>
      <c r="F87" s="2" t="n">
        <v>3780</v>
      </c>
      <c r="G87" s="2" t="n">
        <v>460</v>
      </c>
      <c r="H87" s="2" t="n">
        <v>1430</v>
      </c>
      <c r="I87" s="2" t="n">
        <v>3.932</v>
      </c>
      <c r="J87" s="2">
        <f>+G87*F87</f>
        <v/>
      </c>
      <c r="K87" s="2">
        <f>+H87*F87</f>
        <v/>
      </c>
      <c r="L87" s="2">
        <f>+PI()*(C87/2+D87)^2/(360/B87)</f>
        <v/>
      </c>
      <c r="M87" s="2">
        <f>1/2*(C87/2+D87)^2*SIN(B87/180*PI())</f>
        <v/>
      </c>
      <c r="N87" s="2">
        <f>(J87+K87-L87+M87)/1000000</f>
        <v/>
      </c>
      <c r="P87" s="2" t="inlineStr">
        <is>
          <t>2、3</t>
        </is>
      </c>
    </row>
    <row r="88">
      <c r="A88" s="2" t="inlineStr">
        <is>
          <t>2</t>
        </is>
      </c>
      <c r="B88" s="2" t="n">
        <v>180</v>
      </c>
      <c r="C88" s="2" t="n">
        <v>2600</v>
      </c>
      <c r="D88" s="2" t="n">
        <v>235</v>
      </c>
      <c r="E88" s="2" t="n">
        <v>470</v>
      </c>
      <c r="F88" s="2" t="n">
        <v>4010</v>
      </c>
      <c r="G88" s="2" t="n">
        <v>470</v>
      </c>
      <c r="H88" s="2" t="n">
        <v>1535</v>
      </c>
      <c r="I88" s="2" t="n">
        <v>4.339</v>
      </c>
      <c r="J88" s="2">
        <f>+G88*F88</f>
        <v/>
      </c>
      <c r="K88" s="2">
        <f>+H88*F88</f>
        <v/>
      </c>
      <c r="L88" s="2">
        <f>+PI()*(C88/2+D88)^2/(360/B88)</f>
        <v/>
      </c>
      <c r="M88" s="2">
        <f>1/2*(C88/2+D88)^2*SIN(B88/180*PI())</f>
        <v/>
      </c>
      <c r="N88" s="2">
        <f>(J88+K88-L88+M88)/1000000</f>
        <v/>
      </c>
      <c r="P88" s="2" t="inlineStr">
        <is>
          <t>2、3</t>
        </is>
      </c>
    </row>
    <row r="89">
      <c r="A89" s="2" t="inlineStr">
        <is>
          <t>2</t>
        </is>
      </c>
      <c r="B89" s="2" t="n">
        <v>180</v>
      </c>
      <c r="C89" s="2" t="n">
        <v>2800</v>
      </c>
      <c r="D89" s="2" t="n">
        <v>255</v>
      </c>
      <c r="E89" s="2" t="n">
        <v>510</v>
      </c>
      <c r="F89" s="2" t="n">
        <v>4330</v>
      </c>
      <c r="G89" s="2" t="n">
        <v>510</v>
      </c>
      <c r="H89" s="2" t="n">
        <v>1655</v>
      </c>
      <c r="I89" s="2" t="n">
        <v>5.072</v>
      </c>
      <c r="J89" s="2">
        <f>+G89*F89</f>
        <v/>
      </c>
      <c r="K89" s="2">
        <f>+H89*F89</f>
        <v/>
      </c>
      <c r="L89" s="2">
        <f>+PI()*(C89/2+D89)^2/(360/B89)</f>
        <v/>
      </c>
      <c r="M89" s="2">
        <f>1/2*(C89/2+D89)^2*SIN(B89/180*PI())</f>
        <v/>
      </c>
      <c r="N89" s="2">
        <f>(J89+K89-L89+M89)/1000000</f>
        <v/>
      </c>
      <c r="P89" s="2" t="inlineStr">
        <is>
          <t>2、3</t>
        </is>
      </c>
    </row>
    <row r="90">
      <c r="A90" s="2" t="inlineStr">
        <is>
          <t>2</t>
        </is>
      </c>
      <c r="B90" s="2" t="n">
        <v>180</v>
      </c>
      <c r="C90" s="2" t="n">
        <v>3000</v>
      </c>
      <c r="D90" s="2" t="n">
        <v>275</v>
      </c>
      <c r="E90" s="2" t="n">
        <v>550</v>
      </c>
      <c r="F90" s="2" t="n">
        <v>4650</v>
      </c>
      <c r="G90" s="2" t="n">
        <v>550</v>
      </c>
      <c r="H90" s="2" t="n">
        <v>1775</v>
      </c>
      <c r="I90" s="2" t="n">
        <v>5.862</v>
      </c>
      <c r="J90" s="2">
        <f>+G90*F90</f>
        <v/>
      </c>
      <c r="K90" s="2">
        <f>+H90*F90</f>
        <v/>
      </c>
      <c r="L90" s="2">
        <f>+PI()*(C90/2+D90)^2/(360/B90)</f>
        <v/>
      </c>
      <c r="M90" s="2">
        <f>1/2*(C90/2+D90)^2*SIN(B90/180*PI())</f>
        <v/>
      </c>
      <c r="N90" s="2">
        <f>(J90+K90-L90+M90)/1000000</f>
        <v/>
      </c>
      <c r="P90" s="2" t="inlineStr">
        <is>
          <t>2、3</t>
        </is>
      </c>
    </row>
    <row r="91">
      <c r="A91" s="2" t="inlineStr">
        <is>
          <t>3</t>
        </is>
      </c>
      <c r="B91" s="2" t="n">
        <v>180</v>
      </c>
      <c r="C91" s="2" t="n">
        <v>600</v>
      </c>
      <c r="D91" s="2" t="n">
        <v>60</v>
      </c>
      <c r="E91" s="2" t="n">
        <v>120</v>
      </c>
      <c r="F91" s="2" t="n">
        <v>960</v>
      </c>
      <c r="G91" s="2" t="n">
        <v>120</v>
      </c>
      <c r="H91" s="2" t="n">
        <v>360</v>
      </c>
      <c r="I91" s="2" t="n">
        <v>0.257</v>
      </c>
      <c r="J91" s="2">
        <f>+G91*F91</f>
        <v/>
      </c>
      <c r="K91" s="2">
        <f>+H91*F91</f>
        <v/>
      </c>
      <c r="L91" s="2">
        <f>+PI()*(C91/2+D91)^2/(360/B91)</f>
        <v/>
      </c>
      <c r="M91" s="2">
        <f>1/2*(C91/2+D91)^2*SIN(B91/180*PI())</f>
        <v/>
      </c>
      <c r="N91" s="2">
        <f>(J91+K91-L91+M91)/1000000</f>
        <v/>
      </c>
      <c r="P91" s="2" t="inlineStr">
        <is>
          <t>2、3</t>
        </is>
      </c>
    </row>
    <row r="92">
      <c r="A92" s="2" t="inlineStr">
        <is>
          <t>3</t>
        </is>
      </c>
      <c r="B92" s="2" t="n">
        <v>180</v>
      </c>
      <c r="C92" s="2" t="n">
        <v>700</v>
      </c>
      <c r="D92" s="2" t="n">
        <v>70</v>
      </c>
      <c r="E92" s="2" t="n">
        <v>140</v>
      </c>
      <c r="F92" s="2" t="n">
        <v>1120</v>
      </c>
      <c r="G92" s="2" t="n">
        <v>140</v>
      </c>
      <c r="H92" s="2" t="n">
        <v>420</v>
      </c>
      <c r="I92" s="2" t="n">
        <v>0.35</v>
      </c>
      <c r="J92" s="2">
        <f>+G92*F92</f>
        <v/>
      </c>
      <c r="K92" s="2">
        <f>+H92*F92</f>
        <v/>
      </c>
      <c r="L92" s="2">
        <f>+PI()*(C92/2+D92)^2/(360/B92)</f>
        <v/>
      </c>
      <c r="M92" s="2">
        <f>1/2*(C92/2+D92)^2*SIN(B92/180*PI())</f>
        <v/>
      </c>
      <c r="N92" s="2">
        <f>(J92+K92-L92+M92)/1000000</f>
        <v/>
      </c>
      <c r="P92" s="2" t="inlineStr">
        <is>
          <t>2、3</t>
        </is>
      </c>
    </row>
    <row r="93">
      <c r="A93" s="2" t="inlineStr">
        <is>
          <t>3</t>
        </is>
      </c>
      <c r="B93" s="2" t="n">
        <v>180</v>
      </c>
      <c r="C93" s="2" t="n">
        <v>800</v>
      </c>
      <c r="D93" s="2" t="n">
        <v>80</v>
      </c>
      <c r="E93" s="2" t="n">
        <v>160</v>
      </c>
      <c r="F93" s="2" t="n">
        <v>1280</v>
      </c>
      <c r="G93" s="2" t="n">
        <v>160</v>
      </c>
      <c r="H93" s="2" t="n">
        <v>480</v>
      </c>
      <c r="I93" s="2" t="n">
        <v>0.457</v>
      </c>
      <c r="J93" s="2">
        <f>+G93*F93</f>
        <v/>
      </c>
      <c r="K93" s="2">
        <f>+H93*F93</f>
        <v/>
      </c>
      <c r="L93" s="2">
        <f>+PI()*(C93/2+D93)^2/(360/B93)</f>
        <v/>
      </c>
      <c r="M93" s="2">
        <f>1/2*(C93/2+D93)^2*SIN(B93/180*PI())</f>
        <v/>
      </c>
      <c r="N93" s="2">
        <f>(J93+K93-L93+M93)/1000000</f>
        <v/>
      </c>
      <c r="P93" s="2" t="inlineStr">
        <is>
          <t>2、3</t>
        </is>
      </c>
    </row>
    <row r="94">
      <c r="A94" s="2" t="inlineStr">
        <is>
          <t>3</t>
        </is>
      </c>
      <c r="B94" s="2" t="n">
        <v>180</v>
      </c>
      <c r="C94" s="2" t="n">
        <v>900</v>
      </c>
      <c r="D94" s="2" t="n">
        <v>90</v>
      </c>
      <c r="E94" s="2" t="n">
        <v>180</v>
      </c>
      <c r="F94" s="2" t="n">
        <v>1440</v>
      </c>
      <c r="G94" s="2" t="n">
        <v>180</v>
      </c>
      <c r="H94" s="2" t="n">
        <v>540</v>
      </c>
      <c r="I94" s="2" t="n">
        <v>0.579</v>
      </c>
      <c r="J94" s="2">
        <f>+G94*F94</f>
        <v/>
      </c>
      <c r="K94" s="2">
        <f>+H94*F94</f>
        <v/>
      </c>
      <c r="L94" s="2">
        <f>+PI()*(C94/2+D94)^2/(360/B94)</f>
        <v/>
      </c>
      <c r="M94" s="2">
        <f>1/2*(C94/2+D94)^2*SIN(B94/180*PI())</f>
        <v/>
      </c>
      <c r="N94" s="2">
        <f>(J94+K94-L94+M94)/1000000</f>
        <v/>
      </c>
      <c r="P94" s="2" t="inlineStr">
        <is>
          <t>2、3</t>
        </is>
      </c>
    </row>
    <row r="95">
      <c r="A95" s="2" t="inlineStr">
        <is>
          <t>3</t>
        </is>
      </c>
      <c r="B95" s="2" t="n">
        <v>180</v>
      </c>
      <c r="C95" s="2" t="n">
        <v>1000</v>
      </c>
      <c r="D95" s="2" t="n">
        <v>100</v>
      </c>
      <c r="E95" s="2" t="n">
        <v>200</v>
      </c>
      <c r="F95" s="2" t="n">
        <v>1600</v>
      </c>
      <c r="G95" s="2" t="n">
        <v>200</v>
      </c>
      <c r="H95" s="2" t="n">
        <v>600</v>
      </c>
      <c r="I95" s="2" t="n">
        <v>0.715</v>
      </c>
      <c r="J95" s="2">
        <f>+G95*F95</f>
        <v/>
      </c>
      <c r="K95" s="2">
        <f>+H95*F95</f>
        <v/>
      </c>
      <c r="L95" s="2">
        <f>+PI()*(C95/2+D95)^2/(360/B95)</f>
        <v/>
      </c>
      <c r="M95" s="2">
        <f>1/2*(C95/2+D95)^2*SIN(B95/180*PI())</f>
        <v/>
      </c>
      <c r="N95" s="2">
        <f>(J95+K95-L95+M95)/1000000</f>
        <v/>
      </c>
      <c r="P95" s="2" t="inlineStr">
        <is>
          <t>2、3</t>
        </is>
      </c>
    </row>
    <row r="96">
      <c r="A96" s="2" t="inlineStr">
        <is>
          <t>3</t>
        </is>
      </c>
      <c r="B96" s="2" t="n">
        <v>180</v>
      </c>
      <c r="C96" s="2" t="n">
        <v>1100</v>
      </c>
      <c r="D96" s="2" t="n">
        <v>110</v>
      </c>
      <c r="E96" s="2" t="n">
        <v>220</v>
      </c>
      <c r="F96" s="2" t="n">
        <v>1760</v>
      </c>
      <c r="G96" s="2" t="n">
        <v>220</v>
      </c>
      <c r="H96" s="2" t="n">
        <v>660</v>
      </c>
      <c r="I96" s="2" t="n">
        <v>0.865</v>
      </c>
      <c r="J96" s="2">
        <f>+G96*F96</f>
        <v/>
      </c>
      <c r="K96" s="2">
        <f>+H96*F96</f>
        <v/>
      </c>
      <c r="L96" s="2">
        <f>+PI()*(C96/2+D96)^2/(360/B96)</f>
        <v/>
      </c>
      <c r="M96" s="2">
        <f>1/2*(C96/2+D96)^2*SIN(B96/180*PI())</f>
        <v/>
      </c>
      <c r="N96" s="2">
        <f>(J96+K96-L96+M96)/1000000</f>
        <v/>
      </c>
      <c r="P96" s="2" t="inlineStr">
        <is>
          <t>2、3</t>
        </is>
      </c>
    </row>
    <row r="97">
      <c r="A97" s="2" t="inlineStr">
        <is>
          <t>3</t>
        </is>
      </c>
      <c r="B97" s="2" t="n">
        <v>180</v>
      </c>
      <c r="C97" s="2" t="n">
        <v>1200</v>
      </c>
      <c r="D97" s="2" t="n">
        <v>120</v>
      </c>
      <c r="E97" s="2" t="n">
        <v>240</v>
      </c>
      <c r="F97" s="2" t="n">
        <v>1920</v>
      </c>
      <c r="G97" s="2" t="n">
        <v>240</v>
      </c>
      <c r="H97" s="2" t="n">
        <v>720</v>
      </c>
      <c r="I97" s="2" t="n">
        <v>1.029</v>
      </c>
      <c r="J97" s="2">
        <f>+G97*F97</f>
        <v/>
      </c>
      <c r="K97" s="2">
        <f>+H97*F97</f>
        <v/>
      </c>
      <c r="L97" s="2">
        <f>+PI()*(C97/2+D97)^2/(360/B97)</f>
        <v/>
      </c>
      <c r="M97" s="2">
        <f>1/2*(C97/2+D97)^2*SIN(B97/180*PI())</f>
        <v/>
      </c>
      <c r="N97" s="2">
        <f>(J97+K97-L97+M97)/1000000</f>
        <v/>
      </c>
      <c r="P97" s="2" t="inlineStr">
        <is>
          <t>2、3</t>
        </is>
      </c>
    </row>
    <row r="98">
      <c r="A98" s="2" t="inlineStr">
        <is>
          <t>3</t>
        </is>
      </c>
      <c r="B98" s="2" t="n">
        <v>180</v>
      </c>
      <c r="C98" s="2" t="n">
        <v>1350</v>
      </c>
      <c r="D98" s="2" t="n">
        <v>135</v>
      </c>
      <c r="E98" s="2" t="n">
        <v>270</v>
      </c>
      <c r="F98" s="2" t="n">
        <v>2160</v>
      </c>
      <c r="G98" s="2" t="n">
        <v>270</v>
      </c>
      <c r="H98" s="2" t="n">
        <v>810</v>
      </c>
      <c r="I98" s="2" t="n">
        <v>1.302</v>
      </c>
      <c r="J98" s="2">
        <f>+G98*F98</f>
        <v/>
      </c>
      <c r="K98" s="2">
        <f>+H98*F98</f>
        <v/>
      </c>
      <c r="L98" s="2">
        <f>+PI()*(C98/2+D98)^2/(360/B98)</f>
        <v/>
      </c>
      <c r="M98" s="2">
        <f>1/2*(C98/2+D98)^2*SIN(B98/180*PI())</f>
        <v/>
      </c>
      <c r="N98" s="2">
        <f>(J98+K98-L98+M98)/1000000</f>
        <v/>
      </c>
      <c r="P98" s="2" t="inlineStr">
        <is>
          <t>2、3</t>
        </is>
      </c>
    </row>
    <row r="99">
      <c r="A99" s="2" t="inlineStr">
        <is>
          <t>3</t>
        </is>
      </c>
      <c r="B99" s="2" t="n">
        <v>180</v>
      </c>
      <c r="C99" s="2" t="n">
        <v>1500</v>
      </c>
      <c r="D99" s="2" t="n">
        <v>150</v>
      </c>
      <c r="E99" s="2" t="n">
        <v>300</v>
      </c>
      <c r="F99" s="2" t="n">
        <v>2400</v>
      </c>
      <c r="G99" s="2" t="n">
        <v>300</v>
      </c>
      <c r="H99" s="2" t="n">
        <v>900</v>
      </c>
      <c r="I99" s="2" t="n">
        <v>1.608</v>
      </c>
      <c r="J99" s="2">
        <f>+G99*F99</f>
        <v/>
      </c>
      <c r="K99" s="2">
        <f>+H99*F99</f>
        <v/>
      </c>
      <c r="L99" s="2">
        <f>+PI()*(C99/2+D99)^2/(360/B99)</f>
        <v/>
      </c>
      <c r="M99" s="2">
        <f>1/2*(C99/2+D99)^2*SIN(B99/180*PI())</f>
        <v/>
      </c>
      <c r="N99" s="2">
        <f>(J99+K99-L99+M99)/1000000</f>
        <v/>
      </c>
      <c r="P99" s="2" t="inlineStr">
        <is>
          <t>2、3</t>
        </is>
      </c>
    </row>
    <row r="100">
      <c r="A100" s="2" t="inlineStr">
        <is>
          <t>3</t>
        </is>
      </c>
      <c r="B100" s="2" t="n">
        <v>180</v>
      </c>
      <c r="C100" s="2" t="n">
        <v>1650</v>
      </c>
      <c r="D100" s="2" t="n">
        <v>165</v>
      </c>
      <c r="E100" s="2" t="n">
        <v>330</v>
      </c>
      <c r="F100" s="2" t="n">
        <v>2640</v>
      </c>
      <c r="G100" s="2" t="n">
        <v>330</v>
      </c>
      <c r="H100" s="2" t="n">
        <v>990</v>
      </c>
      <c r="I100" s="2" t="n">
        <v>1.945</v>
      </c>
      <c r="J100" s="2">
        <f>+G100*F100</f>
        <v/>
      </c>
      <c r="K100" s="2">
        <f>+H100*F100</f>
        <v/>
      </c>
      <c r="L100" s="2">
        <f>+PI()*(C100/2+D100)^2/(360/B100)</f>
        <v/>
      </c>
      <c r="M100" s="2">
        <f>1/2*(C100/2+D100)^2*SIN(B100/180*PI())</f>
        <v/>
      </c>
      <c r="N100" s="2">
        <f>(J100+K100-L100+M100)/1000000</f>
        <v/>
      </c>
      <c r="P100" s="2" t="inlineStr">
        <is>
          <t>2、3</t>
        </is>
      </c>
    </row>
    <row r="101">
      <c r="A101" s="2" t="inlineStr">
        <is>
          <t>3</t>
        </is>
      </c>
      <c r="B101" s="2" t="n">
        <v>180</v>
      </c>
      <c r="C101" s="2" t="n">
        <v>1800</v>
      </c>
      <c r="D101" s="2" t="n">
        <v>180</v>
      </c>
      <c r="E101" s="2" t="n">
        <v>360</v>
      </c>
      <c r="F101" s="2" t="n">
        <v>2880</v>
      </c>
      <c r="G101" s="2" t="n">
        <v>360</v>
      </c>
      <c r="H101" s="2" t="n">
        <v>1080</v>
      </c>
      <c r="I101" s="2" t="n">
        <v>2.315</v>
      </c>
      <c r="J101" s="2">
        <f>+G101*F101</f>
        <v/>
      </c>
      <c r="K101" s="2">
        <f>+H101*F101</f>
        <v/>
      </c>
      <c r="L101" s="2">
        <f>+PI()*(C101/2+D101)^2/(360/B101)</f>
        <v/>
      </c>
      <c r="M101" s="2">
        <f>1/2*(C101/2+D101)^2*SIN(B101/180*PI())</f>
        <v/>
      </c>
      <c r="N101" s="2">
        <f>(J101+K101-L101+M101)/1000000</f>
        <v/>
      </c>
      <c r="P101" s="2" t="inlineStr">
        <is>
          <t>2、3</t>
        </is>
      </c>
    </row>
    <row r="102">
      <c r="A102" s="2" t="inlineStr">
        <is>
          <t>3</t>
        </is>
      </c>
      <c r="B102" s="2" t="n">
        <v>180</v>
      </c>
      <c r="C102" s="2" t="n">
        <v>2000</v>
      </c>
      <c r="D102" s="2" t="n">
        <v>200</v>
      </c>
      <c r="E102" s="2" t="n">
        <v>400</v>
      </c>
      <c r="F102" s="2" t="n">
        <v>3200</v>
      </c>
      <c r="G102" s="2" t="n">
        <v>400</v>
      </c>
      <c r="H102" s="2" t="n">
        <v>1200</v>
      </c>
      <c r="I102" s="2" t="n">
        <v>2.858</v>
      </c>
      <c r="J102" s="2">
        <f>+G102*F102</f>
        <v/>
      </c>
      <c r="K102" s="2">
        <f>+H102*F102</f>
        <v/>
      </c>
      <c r="L102" s="2">
        <f>+PI()*(C102/2+D102)^2/(360/B102)</f>
        <v/>
      </c>
      <c r="M102" s="2">
        <f>1/2*(C102/2+D102)^2*SIN(B102/180*PI())</f>
        <v/>
      </c>
      <c r="N102" s="2">
        <f>(J102+K102-L102+M102)/1000000</f>
        <v/>
      </c>
      <c r="P102" s="2" t="inlineStr">
        <is>
          <t>2、3</t>
        </is>
      </c>
    </row>
    <row r="103">
      <c r="A103" s="2" t="inlineStr">
        <is>
          <t>3</t>
        </is>
      </c>
      <c r="B103" s="2" t="n">
        <v>180</v>
      </c>
      <c r="C103" s="2" t="n">
        <v>2200</v>
      </c>
      <c r="D103" s="2" t="n">
        <v>220</v>
      </c>
      <c r="E103" s="2" t="n">
        <v>440</v>
      </c>
      <c r="F103" s="2" t="n">
        <v>3520</v>
      </c>
      <c r="G103" s="2" t="n">
        <v>440</v>
      </c>
      <c r="H103" s="2" t="n">
        <v>1320</v>
      </c>
      <c r="I103" s="2" t="n">
        <v>3.458</v>
      </c>
      <c r="J103" s="2">
        <f>+G103*F103</f>
        <v/>
      </c>
      <c r="K103" s="2">
        <f>+H103*F103</f>
        <v/>
      </c>
      <c r="L103" s="2">
        <f>+PI()*(C103/2+D103)^2/(360/B103)</f>
        <v/>
      </c>
      <c r="M103" s="2">
        <f>1/2*(C103/2+D103)^2*SIN(B103/180*PI())</f>
        <v/>
      </c>
      <c r="N103" s="2">
        <f>(J103+K103-L103+M103)/1000000</f>
        <v/>
      </c>
      <c r="P103" s="2" t="inlineStr">
        <is>
          <t>2、3</t>
        </is>
      </c>
    </row>
    <row r="104">
      <c r="A104" s="2" t="inlineStr">
        <is>
          <t>3</t>
        </is>
      </c>
      <c r="B104" s="2" t="n">
        <v>180</v>
      </c>
      <c r="C104" s="2" t="n">
        <v>2400</v>
      </c>
      <c r="D104" s="2" t="n">
        <v>230</v>
      </c>
      <c r="E104" s="2" t="n">
        <v>460</v>
      </c>
      <c r="F104" s="2" t="n">
        <v>3780</v>
      </c>
      <c r="G104" s="2" t="n">
        <v>460</v>
      </c>
      <c r="H104" s="2" t="n">
        <v>1430</v>
      </c>
      <c r="I104" s="2" t="n">
        <v>3.932</v>
      </c>
      <c r="J104" s="2">
        <f>+G104*F104</f>
        <v/>
      </c>
      <c r="K104" s="2">
        <f>+H104*F104</f>
        <v/>
      </c>
      <c r="L104" s="2">
        <f>+PI()*(C104/2+D104)^2/(360/B104)</f>
        <v/>
      </c>
      <c r="M104" s="2">
        <f>1/2*(C104/2+D104)^2*SIN(B104/180*PI())</f>
        <v/>
      </c>
      <c r="N104" s="2">
        <f>(J104+K104-L104+M104)/1000000</f>
        <v/>
      </c>
      <c r="P104" s="2" t="inlineStr">
        <is>
          <t>2、3</t>
        </is>
      </c>
    </row>
    <row r="105">
      <c r="A105" s="2" t="inlineStr">
        <is>
          <t>3</t>
        </is>
      </c>
      <c r="B105" s="2" t="n">
        <v>180</v>
      </c>
      <c r="C105" s="2" t="n">
        <v>2600</v>
      </c>
      <c r="D105" s="2" t="n">
        <v>235</v>
      </c>
      <c r="E105" s="2" t="n">
        <v>470</v>
      </c>
      <c r="F105" s="2" t="n">
        <v>4010</v>
      </c>
      <c r="G105" s="2" t="n">
        <v>470</v>
      </c>
      <c r="H105" s="2" t="n">
        <v>1535</v>
      </c>
      <c r="I105" s="2" t="n">
        <v>4.339</v>
      </c>
      <c r="J105" s="2">
        <f>+G105*F105</f>
        <v/>
      </c>
      <c r="K105" s="2">
        <f>+H105*F105</f>
        <v/>
      </c>
      <c r="L105" s="2">
        <f>+PI()*(C105/2+D105)^2/(360/B105)</f>
        <v/>
      </c>
      <c r="M105" s="2">
        <f>1/2*(C105/2+D105)^2*SIN(B105/180*PI())</f>
        <v/>
      </c>
      <c r="N105" s="2">
        <f>(J105+K105-L105+M105)/1000000</f>
        <v/>
      </c>
      <c r="P105" s="2" t="inlineStr">
        <is>
          <t>2、3</t>
        </is>
      </c>
    </row>
    <row r="106">
      <c r="A106" s="2" t="inlineStr">
        <is>
          <t>3</t>
        </is>
      </c>
      <c r="B106" s="2" t="n">
        <v>180</v>
      </c>
      <c r="C106" s="2" t="n">
        <v>2800</v>
      </c>
      <c r="D106" s="2" t="n">
        <v>255</v>
      </c>
      <c r="E106" s="2" t="n">
        <v>510</v>
      </c>
      <c r="F106" s="2" t="n">
        <v>4330</v>
      </c>
      <c r="G106" s="2" t="n">
        <v>510</v>
      </c>
      <c r="H106" s="2" t="n">
        <v>1655</v>
      </c>
      <c r="I106" s="2" t="n">
        <v>5.072</v>
      </c>
      <c r="J106" s="2">
        <f>+G106*F106</f>
        <v/>
      </c>
      <c r="K106" s="2">
        <f>+H106*F106</f>
        <v/>
      </c>
      <c r="L106" s="2">
        <f>+PI()*(C106/2+D106)^2/(360/B106)</f>
        <v/>
      </c>
      <c r="M106" s="2">
        <f>1/2*(C106/2+D106)^2*SIN(B106/180*PI())</f>
        <v/>
      </c>
      <c r="N106" s="2">
        <f>(J106+K106-L106+M106)/1000000</f>
        <v/>
      </c>
      <c r="P106" s="2" t="inlineStr">
        <is>
          <t>2、3</t>
        </is>
      </c>
    </row>
    <row r="107">
      <c r="A107" s="2" t="inlineStr">
        <is>
          <t>3</t>
        </is>
      </c>
      <c r="B107" s="2" t="n">
        <v>180</v>
      </c>
      <c r="C107" s="2" t="n">
        <v>3000</v>
      </c>
      <c r="D107" s="2" t="n">
        <v>275</v>
      </c>
      <c r="E107" s="2" t="n">
        <v>550</v>
      </c>
      <c r="F107" s="2" t="n">
        <v>4650</v>
      </c>
      <c r="G107" s="2" t="n">
        <v>550</v>
      </c>
      <c r="H107" s="2" t="n">
        <v>1775</v>
      </c>
      <c r="I107" s="2" t="n">
        <v>5.862</v>
      </c>
      <c r="J107" s="2">
        <f>+G107*F107</f>
        <v/>
      </c>
      <c r="K107" s="2">
        <f>+H107*F107</f>
        <v/>
      </c>
      <c r="L107" s="2">
        <f>+PI()*(C107/2+D107)^2/(360/B107)</f>
        <v/>
      </c>
      <c r="M107" s="2">
        <f>1/2*(C107/2+D107)^2*SIN(B107/180*PI())</f>
        <v/>
      </c>
      <c r="N107" s="2">
        <f>(J107+K107-L107+M107)/1000000</f>
        <v/>
      </c>
      <c r="P107" s="2" t="inlineStr">
        <is>
          <t>2、3</t>
        </is>
      </c>
    </row>
    <row r="108" customFormat="1" s="1">
      <c r="A108" s="3" t="inlineStr">
        <is>
          <t>06MS201-1</t>
        </is>
      </c>
      <c r="B108" s="3" t="n">
        <v>20</v>
      </c>
      <c r="C108" s="3" t="inlineStr">
        <is>
          <t>90°</t>
        </is>
      </c>
      <c r="D108" s="3" t="inlineStr">
        <is>
          <t>D=150~600钢筋混凝土管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06MS201-1</t>
        </is>
      </c>
    </row>
    <row r="109">
      <c r="A109" s="2" t="inlineStr">
        <is>
          <t>2</t>
        </is>
      </c>
      <c r="B109" s="2" t="n">
        <v>90</v>
      </c>
      <c r="C109" s="2" t="n">
        <v>150</v>
      </c>
      <c r="D109" s="2" t="n">
        <v>25</v>
      </c>
      <c r="E109" s="2" t="n">
        <v>80</v>
      </c>
      <c r="F109" s="2" t="n">
        <v>360</v>
      </c>
      <c r="G109" s="2" t="n">
        <v>80</v>
      </c>
      <c r="H109" s="2" t="n">
        <v>29</v>
      </c>
      <c r="I109" s="2" t="n">
        <v>0.036</v>
      </c>
      <c r="J109" s="2">
        <f>+G109*F109</f>
        <v/>
      </c>
      <c r="K109" s="2">
        <f>+H109*F109</f>
        <v/>
      </c>
      <c r="L109" s="2">
        <f>+PI()*(C109/2+D109)^2/(360/B109)</f>
        <v/>
      </c>
      <c r="M109" s="2">
        <f>1/2*(C109/2+D109)^2*SIN(B109/180*PI())</f>
        <v/>
      </c>
      <c r="N109" s="2">
        <f>(J109+K109-L109+M109)/1000000</f>
        <v/>
      </c>
    </row>
    <row r="110">
      <c r="A110" s="2" t="inlineStr">
        <is>
          <t>2</t>
        </is>
      </c>
      <c r="B110" s="2" t="n">
        <v>90</v>
      </c>
      <c r="C110" s="2" t="n">
        <v>200</v>
      </c>
      <c r="D110" s="2" t="n">
        <v>27</v>
      </c>
      <c r="E110" s="2" t="n">
        <v>80</v>
      </c>
      <c r="F110" s="2" t="n">
        <v>414</v>
      </c>
      <c r="G110" s="2" t="n">
        <v>80</v>
      </c>
      <c r="H110" s="2" t="n">
        <v>37</v>
      </c>
      <c r="I110" s="2" t="n">
        <v>0.044</v>
      </c>
      <c r="J110" s="2">
        <f>+G110*F110</f>
        <v/>
      </c>
      <c r="K110" s="2">
        <f>+H110*F110</f>
        <v/>
      </c>
      <c r="L110" s="2">
        <f>+PI()*(C110/2+D110)^2/(360/B110)</f>
        <v/>
      </c>
      <c r="M110" s="2">
        <f>1/2*(C110/2+D110)^2*SIN(B110/180*PI())</f>
        <v/>
      </c>
      <c r="N110" s="2">
        <f>(J110+K110-L110+M110)/1000000</f>
        <v/>
      </c>
    </row>
    <row r="111">
      <c r="A111" s="2" t="inlineStr">
        <is>
          <t>2</t>
        </is>
      </c>
      <c r="B111" s="2" t="n">
        <v>90</v>
      </c>
      <c r="C111" s="2" t="n">
        <v>250</v>
      </c>
      <c r="D111" s="2" t="n">
        <v>33</v>
      </c>
      <c r="E111" s="2" t="n">
        <v>80</v>
      </c>
      <c r="F111" s="2" t="n">
        <v>476</v>
      </c>
      <c r="G111" s="2" t="n">
        <v>80</v>
      </c>
      <c r="H111" s="2" t="n">
        <v>46</v>
      </c>
      <c r="I111" s="2" t="n">
        <v>0.053</v>
      </c>
      <c r="J111" s="2">
        <f>+G111*F111</f>
        <v/>
      </c>
      <c r="K111" s="2">
        <f>+H111*F111</f>
        <v/>
      </c>
      <c r="L111" s="2">
        <f>+PI()*(C111/2+D111)^2/(360/B111)</f>
        <v/>
      </c>
      <c r="M111" s="2">
        <f>1/2*(C111/2+D111)^2*SIN(B111/180*PI())</f>
        <v/>
      </c>
      <c r="N111" s="2">
        <f>(J111+K111-L111+M111)/1000000</f>
        <v/>
      </c>
    </row>
    <row r="112">
      <c r="A112" s="2" t="inlineStr">
        <is>
          <t>2</t>
        </is>
      </c>
      <c r="B112" s="2" t="n">
        <v>90</v>
      </c>
      <c r="C112" s="2" t="n">
        <v>300</v>
      </c>
      <c r="D112" s="2" t="n">
        <v>40</v>
      </c>
      <c r="E112" s="2" t="n">
        <v>80</v>
      </c>
      <c r="F112" s="2" t="n">
        <v>540</v>
      </c>
      <c r="G112" s="2" t="n">
        <v>80</v>
      </c>
      <c r="H112" s="2" t="n">
        <v>56</v>
      </c>
      <c r="I112" s="2" t="n">
        <v>0.063</v>
      </c>
      <c r="J112" s="2">
        <f>+G112*F112</f>
        <v/>
      </c>
      <c r="K112" s="2">
        <f>+H112*F112</f>
        <v/>
      </c>
      <c r="L112" s="2">
        <f>+PI()*(C112/2+D112)^2/(360/B112)</f>
        <v/>
      </c>
      <c r="M112" s="2">
        <f>1/2*(C112/2+D112)^2*SIN(B112/180*PI())</f>
        <v/>
      </c>
      <c r="N112" s="2">
        <f>(J112+K112-L112+M112)/1000000</f>
        <v/>
      </c>
    </row>
    <row r="113">
      <c r="A113" s="2" t="inlineStr">
        <is>
          <t>2</t>
        </is>
      </c>
      <c r="B113" s="2" t="n">
        <v>90</v>
      </c>
      <c r="C113" s="2" t="n">
        <v>350</v>
      </c>
      <c r="D113" s="2" t="n">
        <v>45</v>
      </c>
      <c r="E113" s="2" t="n">
        <v>90</v>
      </c>
      <c r="F113" s="2" t="n">
        <v>620</v>
      </c>
      <c r="G113" s="2" t="n">
        <v>90</v>
      </c>
      <c r="H113" s="2" t="n">
        <v>64</v>
      </c>
      <c r="I113" s="2" t="n">
        <v>0.082</v>
      </c>
      <c r="J113" s="2">
        <f>+G113*F113</f>
        <v/>
      </c>
      <c r="K113" s="2">
        <f>+H113*F113</f>
        <v/>
      </c>
      <c r="L113" s="2">
        <f>+PI()*(C113/2+D113)^2/(360/B113)</f>
        <v/>
      </c>
      <c r="M113" s="2">
        <f>1/2*(C113/2+D113)^2*SIN(B113/180*PI())</f>
        <v/>
      </c>
      <c r="N113" s="2">
        <f>(J113+K113-L113+M113)/1000000</f>
        <v/>
      </c>
    </row>
    <row r="114">
      <c r="A114" s="2" t="inlineStr">
        <is>
          <t>2</t>
        </is>
      </c>
      <c r="B114" s="2" t="n">
        <v>90</v>
      </c>
      <c r="C114" s="2" t="n">
        <v>400</v>
      </c>
      <c r="D114" s="2" t="n">
        <v>47</v>
      </c>
      <c r="E114" s="2" t="n">
        <v>100</v>
      </c>
      <c r="F114" s="2" t="n">
        <v>694</v>
      </c>
      <c r="G114" s="2" t="n">
        <v>100</v>
      </c>
      <c r="H114" s="2" t="n">
        <v>72</v>
      </c>
      <c r="I114" s="2" t="n">
        <v>0.102</v>
      </c>
      <c r="J114" s="2">
        <f>+G114*F114</f>
        <v/>
      </c>
      <c r="K114" s="2">
        <f>+H114*F114</f>
        <v/>
      </c>
      <c r="L114" s="2">
        <f>+PI()*(C114/2+D114)^2/(360/B114)</f>
        <v/>
      </c>
      <c r="M114" s="2">
        <f>1/2*(C114/2+D114)^2*SIN(B114/180*PI())</f>
        <v/>
      </c>
      <c r="N114" s="2">
        <f>(J114+K114-L114+M114)/1000000</f>
        <v/>
      </c>
    </row>
    <row r="115">
      <c r="A115" s="2" t="inlineStr">
        <is>
          <t>2</t>
        </is>
      </c>
      <c r="B115" s="2" t="n">
        <v>90</v>
      </c>
      <c r="C115" s="2" t="n">
        <v>450</v>
      </c>
      <c r="D115" s="2" t="n">
        <v>50</v>
      </c>
      <c r="E115" s="2" t="n">
        <v>100</v>
      </c>
      <c r="F115" s="2" t="n">
        <v>750</v>
      </c>
      <c r="G115" s="2" t="n">
        <v>100</v>
      </c>
      <c r="H115" s="2" t="n">
        <v>81</v>
      </c>
      <c r="I115" s="2" t="n">
        <v>0.114</v>
      </c>
      <c r="J115" s="2">
        <f>+G115*F115</f>
        <v/>
      </c>
      <c r="K115" s="2">
        <f>+H115*F115</f>
        <v/>
      </c>
      <c r="L115" s="2">
        <f>+PI()*(C115/2+D115)^2/(360/B115)</f>
        <v/>
      </c>
      <c r="M115" s="2">
        <f>1/2*(C115/2+D115)^2*SIN(B115/180*PI())</f>
        <v/>
      </c>
      <c r="N115" s="2">
        <f>(J115+K115-L115+M115)/1000000</f>
        <v/>
      </c>
    </row>
    <row r="116">
      <c r="A116" s="2" t="inlineStr">
        <is>
          <t>2</t>
        </is>
      </c>
      <c r="B116" s="2" t="n">
        <v>90</v>
      </c>
      <c r="C116" s="2" t="n">
        <v>500</v>
      </c>
      <c r="D116" s="2" t="n">
        <v>55</v>
      </c>
      <c r="E116" s="2" t="n">
        <v>110</v>
      </c>
      <c r="F116" s="2" t="n">
        <v>830</v>
      </c>
      <c r="G116" s="2" t="n">
        <v>110</v>
      </c>
      <c r="H116" s="2" t="n">
        <v>89</v>
      </c>
      <c r="I116" s="2" t="n">
        <v>0.139</v>
      </c>
      <c r="J116" s="2">
        <f>+G116*F116</f>
        <v/>
      </c>
      <c r="K116" s="2">
        <f>+H116*F116</f>
        <v/>
      </c>
      <c r="L116" s="2">
        <f>+PI()*(C116/2+D116)^2/(360/B116)</f>
        <v/>
      </c>
      <c r="M116" s="2">
        <f>1/2*(C116/2+D116)^2*SIN(B116/180*PI())</f>
        <v/>
      </c>
      <c r="N116" s="2">
        <f>(J116+K116-L116+M116)/1000000</f>
        <v/>
      </c>
    </row>
    <row r="117">
      <c r="A117" s="2" t="inlineStr">
        <is>
          <t>2</t>
        </is>
      </c>
      <c r="B117" s="2" t="n">
        <v>90</v>
      </c>
      <c r="C117" s="2" t="n">
        <v>600</v>
      </c>
      <c r="D117" s="2" t="n">
        <v>65</v>
      </c>
      <c r="E117" s="2" t="n">
        <v>130</v>
      </c>
      <c r="F117" s="2" t="n">
        <v>990</v>
      </c>
      <c r="G117" s="2" t="n">
        <v>130</v>
      </c>
      <c r="H117" s="2" t="n">
        <v>107</v>
      </c>
      <c r="I117" s="2" t="n">
        <v>0.197</v>
      </c>
      <c r="J117" s="2">
        <f>+G117*F117</f>
        <v/>
      </c>
      <c r="K117" s="2">
        <f>+H117*F117</f>
        <v/>
      </c>
      <c r="L117" s="2">
        <f>+PI()*(C117/2+D117)^2/(360/B117)</f>
        <v/>
      </c>
      <c r="M117" s="2">
        <f>1/2*(C117/2+D117)^2*SIN(B117/180*PI())</f>
        <v/>
      </c>
      <c r="N117" s="2">
        <f>(J117+K117-L117+M117)/1000000</f>
        <v/>
      </c>
    </row>
    <row r="118" customFormat="1" s="1">
      <c r="A118" s="3" t="inlineStr">
        <is>
          <t>06MS201-1</t>
        </is>
      </c>
      <c r="B118" s="3" t="n">
        <v>21</v>
      </c>
      <c r="C118" s="3" t="inlineStr">
        <is>
          <t>120°</t>
        </is>
      </c>
      <c r="D118" s="3" t="inlineStr">
        <is>
          <t>D=150~600钢筋混凝土管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06MS201-1</t>
        </is>
      </c>
    </row>
    <row r="119">
      <c r="A119" s="2" t="n">
        <v>1</v>
      </c>
      <c r="B119" s="2" t="n">
        <v>120</v>
      </c>
      <c r="C119" s="2" t="n">
        <v>150</v>
      </c>
      <c r="D119" s="2" t="n">
        <v>19</v>
      </c>
      <c r="E119" s="2" t="n">
        <v>80</v>
      </c>
      <c r="F119" s="2" t="n">
        <v>348</v>
      </c>
      <c r="G119" s="2" t="n">
        <v>80</v>
      </c>
      <c r="H119" s="2" t="n">
        <v>47</v>
      </c>
      <c r="I119" s="2" t="n">
        <v>0.039</v>
      </c>
      <c r="J119" s="2">
        <f>+G119*F119</f>
        <v/>
      </c>
      <c r="K119" s="2">
        <f>+H119*F119</f>
        <v/>
      </c>
      <c r="L119" s="2">
        <f>+PI()*(C119/2+D119)^2/(360/B119)</f>
        <v/>
      </c>
      <c r="M119" s="2">
        <f>1/2*(C119/2+D119)^2*SIN(B119/180*PI())</f>
        <v/>
      </c>
      <c r="N119" s="2">
        <f>(J119+K119-L119+M119)/1000000</f>
        <v/>
      </c>
      <c r="P119" s="2" t="n">
        <v>1</v>
      </c>
    </row>
    <row r="120">
      <c r="A120" s="2" t="n">
        <v>1</v>
      </c>
      <c r="B120" s="2" t="n">
        <v>120</v>
      </c>
      <c r="C120" s="2" t="n">
        <v>200</v>
      </c>
      <c r="D120" s="2" t="n">
        <v>22</v>
      </c>
      <c r="E120" s="2" t="n">
        <v>80</v>
      </c>
      <c r="F120" s="2" t="n">
        <v>404</v>
      </c>
      <c r="G120" s="2" t="n">
        <v>80</v>
      </c>
      <c r="H120" s="2" t="n">
        <v>61</v>
      </c>
      <c r="I120" s="2" t="n">
        <v>0.048</v>
      </c>
      <c r="J120" s="2">
        <f>+G120*F120</f>
        <v/>
      </c>
      <c r="K120" s="2">
        <f>+H120*F120</f>
        <v/>
      </c>
      <c r="L120" s="2">
        <f>+PI()*(C120/2+D120)^2/(360/B120)</f>
        <v/>
      </c>
      <c r="M120" s="2">
        <f>1/2*(C120/2+D120)^2*SIN(B120/180*PI())</f>
        <v/>
      </c>
      <c r="N120" s="2">
        <f>(J120+K120-L120+M120)/1000000</f>
        <v/>
      </c>
      <c r="P120" s="2" t="n">
        <v>1</v>
      </c>
    </row>
    <row r="121">
      <c r="A121" s="2" t="n">
        <v>1</v>
      </c>
      <c r="B121" s="2" t="n">
        <v>120</v>
      </c>
      <c r="C121" s="2" t="n">
        <v>250</v>
      </c>
      <c r="D121" s="2" t="n">
        <v>25</v>
      </c>
      <c r="E121" s="2" t="n">
        <v>80</v>
      </c>
      <c r="F121" s="2" t="n">
        <v>460</v>
      </c>
      <c r="G121" s="2" t="n">
        <v>80</v>
      </c>
      <c r="H121" s="2" t="n">
        <v>75</v>
      </c>
      <c r="I121" s="2" t="n">
        <v>0.057</v>
      </c>
      <c r="J121" s="2">
        <f>+G121*F121</f>
        <v/>
      </c>
      <c r="K121" s="2">
        <f>+H121*F121</f>
        <v/>
      </c>
      <c r="L121" s="2">
        <f>+PI()*(C121/2+D121)^2/(360/B121)</f>
        <v/>
      </c>
      <c r="M121" s="2">
        <f>1/2*(C121/2+D121)^2*SIN(B121/180*PI())</f>
        <v/>
      </c>
      <c r="N121" s="2">
        <f>(J121+K121-L121+M121)/1000000</f>
        <v/>
      </c>
      <c r="P121" s="2" t="n">
        <v>1</v>
      </c>
    </row>
    <row r="122">
      <c r="A122" s="2" t="n">
        <v>1</v>
      </c>
      <c r="B122" s="2" t="n">
        <v>120</v>
      </c>
      <c r="C122" s="2" t="n">
        <v>300</v>
      </c>
      <c r="D122" s="2" t="n">
        <v>30</v>
      </c>
      <c r="E122" s="2" t="n">
        <v>80</v>
      </c>
      <c r="F122" s="2" t="n">
        <v>520</v>
      </c>
      <c r="G122" s="2" t="n">
        <v>80</v>
      </c>
      <c r="H122" s="2" t="n">
        <v>90</v>
      </c>
      <c r="I122" s="2" t="n">
        <v>0.06900000000000001</v>
      </c>
      <c r="J122" s="2">
        <f>+G122*F122</f>
        <v/>
      </c>
      <c r="K122" s="2">
        <f>+H122*F122</f>
        <v/>
      </c>
      <c r="L122" s="2">
        <f>+PI()*(C122/2+D122)^2/(360/B122)</f>
        <v/>
      </c>
      <c r="M122" s="2">
        <f>1/2*(C122/2+D122)^2*SIN(B122/180*PI())</f>
        <v/>
      </c>
      <c r="N122" s="2">
        <f>(J122+K122-L122+M122)/1000000</f>
        <v/>
      </c>
      <c r="P122" s="2" t="n">
        <v>1</v>
      </c>
    </row>
    <row r="123">
      <c r="A123" s="2" t="n">
        <v>1</v>
      </c>
      <c r="B123" s="2" t="n">
        <v>120</v>
      </c>
      <c r="C123" s="2" t="n">
        <v>350</v>
      </c>
      <c r="D123" s="2" t="n">
        <v>35</v>
      </c>
      <c r="E123" s="2" t="n">
        <v>80</v>
      </c>
      <c r="F123" s="2" t="n">
        <v>580</v>
      </c>
      <c r="G123" s="2" t="n">
        <v>80</v>
      </c>
      <c r="H123" s="2" t="n">
        <v>105</v>
      </c>
      <c r="I123" s="2" t="n">
        <v>0.08</v>
      </c>
      <c r="J123" s="2">
        <f>+G123*F123</f>
        <v/>
      </c>
      <c r="K123" s="2">
        <f>+H123*F123</f>
        <v/>
      </c>
      <c r="L123" s="2">
        <f>+PI()*(C123/2+D123)^2/(360/B123)</f>
        <v/>
      </c>
      <c r="M123" s="2">
        <f>1/2*(C123/2+D123)^2*SIN(B123/180*PI())</f>
        <v/>
      </c>
      <c r="N123" s="2">
        <f>(J123+K123-L123+M123)/1000000</f>
        <v/>
      </c>
      <c r="P123" s="2" t="n">
        <v>1</v>
      </c>
    </row>
    <row r="124">
      <c r="A124" s="2" t="n">
        <v>1</v>
      </c>
      <c r="B124" s="2" t="n">
        <v>120</v>
      </c>
      <c r="C124" s="2" t="n">
        <v>400</v>
      </c>
      <c r="D124" s="2" t="n">
        <v>40</v>
      </c>
      <c r="E124" s="2" t="n">
        <v>80</v>
      </c>
      <c r="F124" s="2" t="n">
        <v>640</v>
      </c>
      <c r="G124" s="2" t="n">
        <v>80</v>
      </c>
      <c r="H124" s="2" t="n">
        <v>120</v>
      </c>
      <c r="I124" s="2" t="n">
        <v>0.093</v>
      </c>
      <c r="J124" s="2">
        <f>+G124*F124</f>
        <v/>
      </c>
      <c r="K124" s="2">
        <f>+H124*F124</f>
        <v/>
      </c>
      <c r="L124" s="2">
        <f>+PI()*(C124/2+D124)^2/(360/B124)</f>
        <v/>
      </c>
      <c r="M124" s="2">
        <f>1/2*(C124/2+D124)^2*SIN(B124/180*PI())</f>
        <v/>
      </c>
      <c r="N124" s="2">
        <f>(J124+K124-L124+M124)/1000000</f>
        <v/>
      </c>
      <c r="P124" s="2" t="n">
        <v>1</v>
      </c>
    </row>
    <row r="125">
      <c r="A125" s="2" t="n">
        <v>1</v>
      </c>
      <c r="B125" s="2" t="n">
        <v>120</v>
      </c>
      <c r="C125" s="2" t="n">
        <v>450</v>
      </c>
      <c r="D125" s="2" t="n">
        <v>45</v>
      </c>
      <c r="E125" s="2" t="n">
        <v>90</v>
      </c>
      <c r="F125" s="2" t="n">
        <v>720</v>
      </c>
      <c r="G125" s="2" t="n">
        <v>90</v>
      </c>
      <c r="H125" s="2" t="n">
        <v>135</v>
      </c>
      <c r="I125" s="2" t="n">
        <v>0.117</v>
      </c>
      <c r="J125" s="2">
        <f>+G125*F125</f>
        <v/>
      </c>
      <c r="K125" s="2">
        <f>+H125*F125</f>
        <v/>
      </c>
      <c r="L125" s="2">
        <f>+PI()*(C125/2+D125)^2/(360/B125)</f>
        <v/>
      </c>
      <c r="M125" s="2">
        <f>1/2*(C125/2+D125)^2*SIN(B125/180*PI())</f>
        <v/>
      </c>
      <c r="N125" s="2">
        <f>(J125+K125-L125+M125)/1000000</f>
        <v/>
      </c>
      <c r="P125" s="2" t="n">
        <v>1</v>
      </c>
    </row>
    <row r="126">
      <c r="A126" s="2" t="n">
        <v>1</v>
      </c>
      <c r="B126" s="2" t="n">
        <v>120</v>
      </c>
      <c r="C126" s="2" t="n">
        <v>500</v>
      </c>
      <c r="D126" s="2" t="n">
        <v>50</v>
      </c>
      <c r="E126" s="2" t="n">
        <v>100</v>
      </c>
      <c r="F126" s="2" t="n">
        <v>800</v>
      </c>
      <c r="G126" s="2" t="n">
        <v>100</v>
      </c>
      <c r="H126" s="2" t="n">
        <v>150</v>
      </c>
      <c r="I126" s="2" t="n">
        <v>0.145</v>
      </c>
      <c r="J126" s="2">
        <f>+G126*F126</f>
        <v/>
      </c>
      <c r="K126" s="2">
        <f>+H126*F126</f>
        <v/>
      </c>
      <c r="L126" s="2">
        <f>+PI()*(C126/2+D126)^2/(360/B126)</f>
        <v/>
      </c>
      <c r="M126" s="2">
        <f>1/2*(C126/2+D126)^2*SIN(B126/180*PI())</f>
        <v/>
      </c>
      <c r="N126" s="2">
        <f>(J126+K126-L126+M126)/1000000</f>
        <v/>
      </c>
      <c r="P126" s="2" t="n">
        <v>1</v>
      </c>
    </row>
    <row r="127">
      <c r="A127" s="2" t="n">
        <v>1</v>
      </c>
      <c r="B127" s="2" t="n">
        <v>120</v>
      </c>
      <c r="C127" s="2" t="n">
        <v>600</v>
      </c>
      <c r="D127" s="2" t="n">
        <v>60</v>
      </c>
      <c r="E127" s="2" t="n">
        <v>120</v>
      </c>
      <c r="F127" s="2" t="n">
        <v>960</v>
      </c>
      <c r="G127" s="2" t="n">
        <v>120</v>
      </c>
      <c r="H127" s="2" t="n">
        <v>180</v>
      </c>
      <c r="I127" s="2" t="n">
        <v>0.208</v>
      </c>
      <c r="J127" s="2">
        <f>+G127*F127</f>
        <v/>
      </c>
      <c r="K127" s="2">
        <f>+H127*F127</f>
        <v/>
      </c>
      <c r="L127" s="2">
        <f>+PI()*(C127/2+D127)^2/(360/B127)</f>
        <v/>
      </c>
      <c r="M127" s="2">
        <f>1/2*(C127/2+D127)^2*SIN(B127/180*PI())</f>
        <v/>
      </c>
      <c r="N127" s="2">
        <f>(J127+K127-L127+M127)/1000000</f>
        <v/>
      </c>
      <c r="P127" s="2" t="n">
        <v>1</v>
      </c>
    </row>
    <row r="128">
      <c r="A128" s="2" t="n">
        <v>2</v>
      </c>
      <c r="B128" s="2" t="n">
        <v>120</v>
      </c>
      <c r="C128" s="2" t="n">
        <v>150</v>
      </c>
      <c r="D128" s="2" t="n">
        <v>25</v>
      </c>
      <c r="E128" s="2" t="n">
        <v>80</v>
      </c>
      <c r="F128" s="2" t="n">
        <v>360</v>
      </c>
      <c r="G128" s="2" t="n">
        <v>80</v>
      </c>
      <c r="H128" s="2" t="n">
        <v>50</v>
      </c>
      <c r="I128" s="2" t="n">
        <v>0.041</v>
      </c>
      <c r="J128" s="2">
        <f>+G128*F128</f>
        <v/>
      </c>
      <c r="K128" s="2">
        <f>+H128*F128</f>
        <v/>
      </c>
      <c r="L128" s="2">
        <f>+PI()*(C128/2+D128)^2/(360/B128)</f>
        <v/>
      </c>
      <c r="M128" s="2">
        <f>1/2*(C128/2+D128)^2*SIN(B128/180*PI())</f>
        <v/>
      </c>
      <c r="N128" s="2">
        <f>(J128+K128-L128+M128)/1000000</f>
        <v/>
      </c>
      <c r="P128" s="2" t="n">
        <v>2</v>
      </c>
    </row>
    <row r="129">
      <c r="A129" s="2" t="n">
        <v>2</v>
      </c>
      <c r="B129" s="2" t="n">
        <v>120</v>
      </c>
      <c r="C129" s="2" t="n">
        <v>200</v>
      </c>
      <c r="D129" s="2" t="n">
        <v>27</v>
      </c>
      <c r="E129" s="2" t="n">
        <v>80</v>
      </c>
      <c r="F129" s="2" t="n">
        <v>414</v>
      </c>
      <c r="G129" s="2" t="n">
        <v>80</v>
      </c>
      <c r="H129" s="2" t="n">
        <v>63</v>
      </c>
      <c r="I129" s="2" t="n">
        <v>0.05</v>
      </c>
      <c r="J129" s="2">
        <f>+G129*F129</f>
        <v/>
      </c>
      <c r="K129" s="2">
        <f>+H129*F129</f>
        <v/>
      </c>
      <c r="L129" s="2">
        <f>+PI()*(C129/2+D129)^2/(360/B129)</f>
        <v/>
      </c>
      <c r="M129" s="2">
        <f>1/2*(C129/2+D129)^2*SIN(B129/180*PI())</f>
        <v/>
      </c>
      <c r="N129" s="2">
        <f>(J129+K129-L129+M129)/1000000</f>
        <v/>
      </c>
      <c r="P129" s="2" t="n">
        <v>2</v>
      </c>
    </row>
    <row r="130">
      <c r="A130" s="2" t="n">
        <v>2</v>
      </c>
      <c r="B130" s="2" t="n">
        <v>120</v>
      </c>
      <c r="C130" s="2" t="n">
        <v>250</v>
      </c>
      <c r="D130" s="2" t="n">
        <v>33</v>
      </c>
      <c r="E130" s="2" t="n">
        <v>80</v>
      </c>
      <c r="F130" s="2" t="n">
        <v>476</v>
      </c>
      <c r="G130" s="2" t="n">
        <v>80</v>
      </c>
      <c r="H130" s="2" t="n">
        <v>79</v>
      </c>
      <c r="I130" s="2" t="n">
        <v>0.06</v>
      </c>
      <c r="J130" s="2">
        <f>+G130*F130</f>
        <v/>
      </c>
      <c r="K130" s="2">
        <f>+H130*F130</f>
        <v/>
      </c>
      <c r="L130" s="2">
        <f>+PI()*(C130/2+D130)^2/(360/B130)</f>
        <v/>
      </c>
      <c r="M130" s="2">
        <f>1/2*(C130/2+D130)^2*SIN(B130/180*PI())</f>
        <v/>
      </c>
      <c r="N130" s="2">
        <f>(J130+K130-L130+M130)/1000000</f>
        <v/>
      </c>
      <c r="P130" s="2" t="n">
        <v>2</v>
      </c>
    </row>
    <row r="131">
      <c r="A131" s="2" t="n">
        <v>2</v>
      </c>
      <c r="B131" s="2" t="n">
        <v>120</v>
      </c>
      <c r="C131" s="2" t="n">
        <v>300</v>
      </c>
      <c r="D131" s="2" t="n">
        <v>40</v>
      </c>
      <c r="E131" s="2" t="n">
        <v>80</v>
      </c>
      <c r="F131" s="2" t="n">
        <v>540</v>
      </c>
      <c r="G131" s="2" t="n">
        <v>80</v>
      </c>
      <c r="H131" s="2" t="n">
        <v>95</v>
      </c>
      <c r="I131" s="2" t="n">
        <v>0.07199999999999999</v>
      </c>
      <c r="J131" s="2">
        <f>+G131*F131</f>
        <v/>
      </c>
      <c r="K131" s="2">
        <f>+H131*F131</f>
        <v/>
      </c>
      <c r="L131" s="2">
        <f>+PI()*(C131/2+D131)^2/(360/B131)</f>
        <v/>
      </c>
      <c r="M131" s="2">
        <f>1/2*(C131/2+D131)^2*SIN(B131/180*PI())</f>
        <v/>
      </c>
      <c r="N131" s="2">
        <f>(J131+K131-L131+M131)/1000000</f>
        <v/>
      </c>
      <c r="P131" s="2" t="n">
        <v>2</v>
      </c>
    </row>
    <row r="132">
      <c r="A132" s="2" t="n">
        <v>2</v>
      </c>
      <c r="B132" s="2" t="n">
        <v>120</v>
      </c>
      <c r="C132" s="2" t="n">
        <v>350</v>
      </c>
      <c r="D132" s="2" t="n">
        <v>45</v>
      </c>
      <c r="E132" s="2" t="n">
        <v>90</v>
      </c>
      <c r="F132" s="2" t="n">
        <v>620</v>
      </c>
      <c r="G132" s="2" t="n">
        <v>90</v>
      </c>
      <c r="H132" s="2" t="n">
        <v>110</v>
      </c>
      <c r="I132" s="2" t="n">
        <v>0.096</v>
      </c>
      <c r="J132" s="2">
        <f>+G132*F132</f>
        <v/>
      </c>
      <c r="K132" s="2">
        <f>+H132*F132</f>
        <v/>
      </c>
      <c r="L132" s="2">
        <f>+PI()*(C132/2+D132)^2/(360/B132)</f>
        <v/>
      </c>
      <c r="M132" s="2">
        <f>1/2*(C132/2+D132)^2*SIN(B132/180*PI())</f>
        <v/>
      </c>
      <c r="N132" s="2">
        <f>(J132+K132-L132+M132)/1000000</f>
        <v/>
      </c>
      <c r="P132" s="2" t="n">
        <v>2</v>
      </c>
    </row>
    <row r="133">
      <c r="A133" s="2" t="n">
        <v>2</v>
      </c>
      <c r="B133" s="2" t="n">
        <v>120</v>
      </c>
      <c r="C133" s="2" t="n">
        <v>400</v>
      </c>
      <c r="D133" s="2" t="n">
        <v>47</v>
      </c>
      <c r="E133" s="2" t="n">
        <v>100</v>
      </c>
      <c r="F133" s="2" t="n">
        <v>694</v>
      </c>
      <c r="G133" s="2" t="n">
        <v>100</v>
      </c>
      <c r="H133" s="2" t="n">
        <v>123</v>
      </c>
      <c r="I133" s="2" t="n">
        <v>0.118</v>
      </c>
      <c r="J133" s="2">
        <f>+G133*F133</f>
        <v/>
      </c>
      <c r="K133" s="2">
        <f>+H133*F133</f>
        <v/>
      </c>
      <c r="L133" s="2">
        <f>+PI()*(C133/2+D133)^2/(360/B133)</f>
        <v/>
      </c>
      <c r="M133" s="2">
        <f>1/2*(C133/2+D133)^2*SIN(B133/180*PI())</f>
        <v/>
      </c>
      <c r="N133" s="2">
        <f>(J133+K133-L133+M133)/1000000</f>
        <v/>
      </c>
      <c r="P133" s="2" t="n">
        <v>2</v>
      </c>
    </row>
    <row r="134">
      <c r="A134" s="2" t="n">
        <v>2</v>
      </c>
      <c r="B134" s="2" t="n">
        <v>120</v>
      </c>
      <c r="C134" s="2" t="n">
        <v>450</v>
      </c>
      <c r="D134" s="2" t="n">
        <v>50</v>
      </c>
      <c r="E134" s="2" t="n">
        <v>100</v>
      </c>
      <c r="F134" s="2" t="n">
        <v>750</v>
      </c>
      <c r="G134" s="2" t="n">
        <v>100</v>
      </c>
      <c r="H134" s="2" t="n">
        <v>137</v>
      </c>
      <c r="I134" s="2" t="n">
        <v>0.132</v>
      </c>
      <c r="J134" s="2">
        <f>+G134*F134</f>
        <v/>
      </c>
      <c r="K134" s="2">
        <f>+H134*F134</f>
        <v/>
      </c>
      <c r="L134" s="2">
        <f>+PI()*(C134/2+D134)^2/(360/B134)</f>
        <v/>
      </c>
      <c r="M134" s="2">
        <f>1/2*(C134/2+D134)^2*SIN(B134/180*PI())</f>
        <v/>
      </c>
      <c r="N134" s="2">
        <f>(J134+K134-L134+M134)/1000000</f>
        <v/>
      </c>
      <c r="P134" s="2" t="n">
        <v>2</v>
      </c>
    </row>
    <row r="135">
      <c r="A135" s="2" t="n">
        <v>2</v>
      </c>
      <c r="B135" s="2" t="n">
        <v>120</v>
      </c>
      <c r="C135" s="2" t="n">
        <v>500</v>
      </c>
      <c r="D135" s="2" t="n">
        <v>55</v>
      </c>
      <c r="E135" s="2" t="n">
        <v>110</v>
      </c>
      <c r="F135" s="2" t="n">
        <v>830</v>
      </c>
      <c r="G135" s="2" t="n">
        <v>110</v>
      </c>
      <c r="H135" s="2" t="n">
        <v>152</v>
      </c>
      <c r="I135" s="2" t="n">
        <v>0.161</v>
      </c>
      <c r="J135" s="2">
        <f>+G135*F135</f>
        <v/>
      </c>
      <c r="K135" s="2">
        <f>+H135*F135</f>
        <v/>
      </c>
      <c r="L135" s="2">
        <f>+PI()*(C135/2+D135)^2/(360/B135)</f>
        <v/>
      </c>
      <c r="M135" s="2">
        <f>1/2*(C135/2+D135)^2*SIN(B135/180*PI())</f>
        <v/>
      </c>
      <c r="N135" s="2">
        <f>(J135+K135-L135+M135)/1000000</f>
        <v/>
      </c>
      <c r="P135" s="2" t="n">
        <v>2</v>
      </c>
    </row>
    <row r="136">
      <c r="A136" s="2" t="n">
        <v>2</v>
      </c>
      <c r="B136" s="2" t="n">
        <v>120</v>
      </c>
      <c r="C136" s="2" t="n">
        <v>600</v>
      </c>
      <c r="D136" s="2" t="n">
        <v>65</v>
      </c>
      <c r="E136" s="2" t="n">
        <v>130</v>
      </c>
      <c r="F136" s="2" t="n">
        <v>990</v>
      </c>
      <c r="G136" s="2" t="n">
        <v>130</v>
      </c>
      <c r="H136" s="2" t="n">
        <v>182</v>
      </c>
      <c r="I136" s="2" t="n">
        <v>0.228</v>
      </c>
      <c r="J136" s="2">
        <f>+G136*F136</f>
        <v/>
      </c>
      <c r="K136" s="2">
        <f>+H136*F136</f>
        <v/>
      </c>
      <c r="L136" s="2">
        <f>+PI()*(C136/2+D136)^2/(360/B136)</f>
        <v/>
      </c>
      <c r="M136" s="2">
        <f>1/2*(C136/2+D136)^2*SIN(B136/180*PI())</f>
        <v/>
      </c>
      <c r="N136" s="2">
        <f>(J136+K136-L136+M136)/1000000</f>
        <v/>
      </c>
      <c r="P136" s="2" t="n">
        <v>2</v>
      </c>
    </row>
    <row r="137" customFormat="1" s="1">
      <c r="A137" s="3" t="inlineStr">
        <is>
          <t>06MS201-1</t>
        </is>
      </c>
      <c r="B137" s="3" t="n">
        <v>22</v>
      </c>
      <c r="C137" s="3" t="inlineStr">
        <is>
          <t>180°</t>
        </is>
      </c>
      <c r="D137" s="3" t="inlineStr">
        <is>
          <t>D=150~600钢筋混凝土管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inlineStr">
        <is>
          <t>06MS201-1</t>
        </is>
      </c>
    </row>
    <row r="138">
      <c r="A138" s="2" t="n">
        <v>1</v>
      </c>
      <c r="B138" s="2" t="n">
        <v>180</v>
      </c>
      <c r="C138" s="2" t="n">
        <v>150</v>
      </c>
      <c r="D138" s="2" t="n">
        <v>19</v>
      </c>
      <c r="E138" s="2" t="n">
        <v>80</v>
      </c>
      <c r="F138" s="2" t="n">
        <v>348</v>
      </c>
      <c r="G138" s="2" t="n">
        <v>80</v>
      </c>
      <c r="H138" s="2" t="n">
        <v>94</v>
      </c>
      <c r="I138" s="2" t="n">
        <v>0.047</v>
      </c>
      <c r="J138" s="2">
        <f>+G138*F138</f>
        <v/>
      </c>
      <c r="K138" s="2">
        <f>+H138*F138</f>
        <v/>
      </c>
      <c r="L138" s="2">
        <f>+PI()*(C138/2+D138)^2/(360/B138)</f>
        <v/>
      </c>
      <c r="M138" s="2">
        <f>1/2*(C138/2+D138)^2*SIN(B138/180*PI())</f>
        <v/>
      </c>
      <c r="N138" s="2">
        <f>(J138+K138-L138+M138)/1000000</f>
        <v/>
      </c>
      <c r="P138" s="2" t="n">
        <v>1</v>
      </c>
    </row>
    <row r="139">
      <c r="A139" s="2" t="n">
        <v>1</v>
      </c>
      <c r="B139" s="2" t="n">
        <v>180</v>
      </c>
      <c r="C139" s="2" t="n">
        <v>200</v>
      </c>
      <c r="D139" s="2" t="n">
        <v>22</v>
      </c>
      <c r="E139" s="2" t="n">
        <v>80</v>
      </c>
      <c r="F139" s="2" t="n">
        <v>404</v>
      </c>
      <c r="G139" s="2" t="n">
        <v>80</v>
      </c>
      <c r="H139" s="2" t="n">
        <v>122</v>
      </c>
      <c r="I139" s="2" t="n">
        <v>0.057</v>
      </c>
      <c r="J139" s="2">
        <f>+G139*F139</f>
        <v/>
      </c>
      <c r="K139" s="2">
        <f>+H139*F139</f>
        <v/>
      </c>
      <c r="L139" s="2">
        <f>+PI()*(C139/2+D139)^2/(360/B139)</f>
        <v/>
      </c>
      <c r="M139" s="2">
        <f>1/2*(C139/2+D139)^2*SIN(B139/180*PI())</f>
        <v/>
      </c>
      <c r="N139" s="2">
        <f>(J139+K139-L139+M139)/1000000</f>
        <v/>
      </c>
      <c r="P139" s="2" t="n">
        <v>1</v>
      </c>
    </row>
    <row r="140">
      <c r="A140" s="2" t="n">
        <v>1</v>
      </c>
      <c r="B140" s="2" t="n">
        <v>180</v>
      </c>
      <c r="C140" s="2" t="n">
        <v>250</v>
      </c>
      <c r="D140" s="2" t="n">
        <v>25</v>
      </c>
      <c r="E140" s="2" t="n">
        <v>80</v>
      </c>
      <c r="F140" s="2" t="n">
        <v>460</v>
      </c>
      <c r="G140" s="2" t="n">
        <v>80</v>
      </c>
      <c r="H140" s="2" t="n">
        <v>150</v>
      </c>
      <c r="I140" s="2" t="n">
        <v>0.07000000000000001</v>
      </c>
      <c r="J140" s="2">
        <f>+G140*F140</f>
        <v/>
      </c>
      <c r="K140" s="2">
        <f>+H140*F140</f>
        <v/>
      </c>
      <c r="L140" s="2">
        <f>+PI()*(C140/2+D140)^2/(360/B140)</f>
        <v/>
      </c>
      <c r="M140" s="2">
        <f>1/2*(C140/2+D140)^2*SIN(B140/180*PI())</f>
        <v/>
      </c>
      <c r="N140" s="2">
        <f>(J140+K140-L140+M140)/1000000</f>
        <v/>
      </c>
      <c r="P140" s="2" t="n">
        <v>1</v>
      </c>
    </row>
    <row r="141">
      <c r="A141" s="2" t="n">
        <v>1</v>
      </c>
      <c r="B141" s="2" t="n">
        <v>180</v>
      </c>
      <c r="C141" s="2" t="n">
        <v>300</v>
      </c>
      <c r="D141" s="2" t="n">
        <v>30</v>
      </c>
      <c r="E141" s="2" t="n">
        <v>80</v>
      </c>
      <c r="F141" s="2" t="n">
        <v>520</v>
      </c>
      <c r="G141" s="2" t="n">
        <v>80</v>
      </c>
      <c r="H141" s="2" t="n">
        <v>180</v>
      </c>
      <c r="I141" s="2" t="n">
        <v>0.08400000000000001</v>
      </c>
      <c r="J141" s="2">
        <f>+G141*F141</f>
        <v/>
      </c>
      <c r="K141" s="2">
        <f>+H141*F141</f>
        <v/>
      </c>
      <c r="L141" s="2">
        <f>+PI()*(C141/2+D141)^2/(360/B141)</f>
        <v/>
      </c>
      <c r="M141" s="2">
        <f>1/2*(C141/2+D141)^2*SIN(B141/180*PI())</f>
        <v/>
      </c>
      <c r="N141" s="2">
        <f>(J141+K141-L141+M141)/1000000</f>
        <v/>
      </c>
      <c r="P141" s="2" t="n">
        <v>1</v>
      </c>
    </row>
    <row r="142">
      <c r="A142" s="2" t="n">
        <v>1</v>
      </c>
      <c r="B142" s="2" t="n">
        <v>180</v>
      </c>
      <c r="C142" s="2" t="n">
        <v>350</v>
      </c>
      <c r="D142" s="2" t="n">
        <v>35</v>
      </c>
      <c r="E142" s="2" t="n">
        <v>80</v>
      </c>
      <c r="F142" s="2" t="n">
        <v>580</v>
      </c>
      <c r="G142" s="2" t="n">
        <v>80</v>
      </c>
      <c r="H142" s="2" t="n">
        <v>210</v>
      </c>
      <c r="I142" s="2" t="n">
        <v>0.099</v>
      </c>
      <c r="J142" s="2">
        <f>+G142*F142</f>
        <v/>
      </c>
      <c r="K142" s="2">
        <f>+H142*F142</f>
        <v/>
      </c>
      <c r="L142" s="2">
        <f>+PI()*(C142/2+D142)^2/(360/B142)</f>
        <v/>
      </c>
      <c r="M142" s="2">
        <f>1/2*(C142/2+D142)^2*SIN(B142/180*PI())</f>
        <v/>
      </c>
      <c r="N142" s="2">
        <f>(J142+K142-L142+M142)/1000000</f>
        <v/>
      </c>
      <c r="P142" s="2" t="n">
        <v>1</v>
      </c>
    </row>
    <row r="143">
      <c r="A143" s="2" t="n">
        <v>1</v>
      </c>
      <c r="B143" s="2" t="n">
        <v>180</v>
      </c>
      <c r="C143" s="2" t="n">
        <v>400</v>
      </c>
      <c r="D143" s="2" t="n">
        <v>40</v>
      </c>
      <c r="E143" s="2" t="n">
        <v>80</v>
      </c>
      <c r="F143" s="2" t="n">
        <v>640</v>
      </c>
      <c r="G143" s="2" t="n">
        <v>80</v>
      </c>
      <c r="H143" s="2" t="n">
        <v>240</v>
      </c>
      <c r="I143" s="2" t="n">
        <v>0.114</v>
      </c>
      <c r="J143" s="2">
        <f>+G143*F143</f>
        <v/>
      </c>
      <c r="K143" s="2">
        <f>+H143*F143</f>
        <v/>
      </c>
      <c r="L143" s="2">
        <f>+PI()*(C143/2+D143)^2/(360/B143)</f>
        <v/>
      </c>
      <c r="M143" s="2">
        <f>1/2*(C143/2+D143)^2*SIN(B143/180*PI())</f>
        <v/>
      </c>
      <c r="N143" s="2">
        <f>(J143+K143-L143+M143)/1000000</f>
        <v/>
      </c>
      <c r="P143" s="2" t="n">
        <v>1</v>
      </c>
    </row>
    <row r="144">
      <c r="A144" s="2" t="n">
        <v>1</v>
      </c>
      <c r="B144" s="2" t="n">
        <v>180</v>
      </c>
      <c r="C144" s="2" t="n">
        <v>450</v>
      </c>
      <c r="D144" s="2" t="n">
        <v>45</v>
      </c>
      <c r="E144" s="2" t="n">
        <v>90</v>
      </c>
      <c r="F144" s="2" t="n">
        <v>720</v>
      </c>
      <c r="G144" s="2" t="n">
        <v>90</v>
      </c>
      <c r="H144" s="2" t="n">
        <v>270</v>
      </c>
      <c r="I144" s="2" t="n">
        <v>0.145</v>
      </c>
      <c r="J144" s="2">
        <f>+G144*F144</f>
        <v/>
      </c>
      <c r="K144" s="2">
        <f>+H144*F144</f>
        <v/>
      </c>
      <c r="L144" s="2">
        <f>+PI()*(C144/2+D144)^2/(360/B144)</f>
        <v/>
      </c>
      <c r="M144" s="2">
        <f>1/2*(C144/2+D144)^2*SIN(B144/180*PI())</f>
        <v/>
      </c>
      <c r="N144" s="2">
        <f>(J144+K144-L144+M144)/1000000</f>
        <v/>
      </c>
      <c r="P144" s="2" t="n">
        <v>1</v>
      </c>
    </row>
    <row r="145">
      <c r="A145" s="2" t="n">
        <v>1</v>
      </c>
      <c r="B145" s="2" t="n">
        <v>180</v>
      </c>
      <c r="C145" s="2" t="n">
        <v>500</v>
      </c>
      <c r="D145" s="2" t="n">
        <v>50</v>
      </c>
      <c r="E145" s="2" t="n">
        <v>100</v>
      </c>
      <c r="F145" s="2" t="n">
        <v>800</v>
      </c>
      <c r="G145" s="2" t="n">
        <v>100</v>
      </c>
      <c r="H145" s="2" t="n">
        <v>300</v>
      </c>
      <c r="I145" s="2" t="n">
        <v>0.179</v>
      </c>
      <c r="J145" s="2">
        <f>+G145*F145</f>
        <v/>
      </c>
      <c r="K145" s="2">
        <f>+H145*F145</f>
        <v/>
      </c>
      <c r="L145" s="2">
        <f>+PI()*(C145/2+D145)^2/(360/B145)</f>
        <v/>
      </c>
      <c r="M145" s="2">
        <f>1/2*(C145/2+D145)^2*SIN(B145/180*PI())</f>
        <v/>
      </c>
      <c r="N145" s="2">
        <f>(J145+K145-L145+M145)/1000000</f>
        <v/>
      </c>
      <c r="P145" s="2" t="n">
        <v>1</v>
      </c>
    </row>
    <row r="146">
      <c r="A146" s="2" t="n">
        <v>1</v>
      </c>
      <c r="B146" s="2" t="n">
        <v>180</v>
      </c>
      <c r="C146" s="2" t="n">
        <v>600</v>
      </c>
      <c r="D146" s="2" t="n">
        <v>60</v>
      </c>
      <c r="E146" s="2" t="n">
        <v>120</v>
      </c>
      <c r="F146" s="2" t="n">
        <v>960</v>
      </c>
      <c r="G146" s="2" t="n">
        <v>120</v>
      </c>
      <c r="H146" s="2" t="n">
        <v>360</v>
      </c>
      <c r="I146" s="2" t="n">
        <v>0.257</v>
      </c>
      <c r="J146" s="2">
        <f>+G146*F146</f>
        <v/>
      </c>
      <c r="K146" s="2">
        <f>+H146*F146</f>
        <v/>
      </c>
      <c r="L146" s="2">
        <f>+PI()*(C146/2+D146)^2/(360/B146)</f>
        <v/>
      </c>
      <c r="M146" s="2">
        <f>1/2*(C146/2+D146)^2*SIN(B146/180*PI())</f>
        <v/>
      </c>
      <c r="N146" s="2">
        <f>(J146+K146-L146+M146)/1000000</f>
        <v/>
      </c>
      <c r="P146" s="2" t="n">
        <v>1</v>
      </c>
    </row>
    <row r="147">
      <c r="A147" s="2" t="inlineStr">
        <is>
          <t>2</t>
        </is>
      </c>
      <c r="B147" s="2" t="n">
        <v>180</v>
      </c>
      <c r="C147" s="2" t="n">
        <v>150</v>
      </c>
      <c r="D147" s="2" t="n">
        <v>25</v>
      </c>
      <c r="E147" s="2" t="n">
        <v>80</v>
      </c>
      <c r="F147" s="2" t="n">
        <v>360</v>
      </c>
      <c r="G147" s="2" t="n">
        <v>80</v>
      </c>
      <c r="H147" s="2" t="n">
        <v>100</v>
      </c>
      <c r="I147" s="2" t="n">
        <v>0.049</v>
      </c>
      <c r="J147" s="2">
        <f>+G147*F147</f>
        <v/>
      </c>
      <c r="K147" s="2">
        <f>+H147*F147</f>
        <v/>
      </c>
      <c r="L147" s="2">
        <f>+PI()*(C147/2+D147)^2/(360/B147)</f>
        <v/>
      </c>
      <c r="M147" s="2">
        <f>1/2*(C147/2+D147)^2*SIN(B147/180*PI())</f>
        <v/>
      </c>
      <c r="N147" s="2">
        <f>(J147+K147-L147+M147)/1000000</f>
        <v/>
      </c>
      <c r="P147" s="2" t="n">
        <v>2</v>
      </c>
    </row>
    <row r="148">
      <c r="A148" s="2" t="inlineStr">
        <is>
          <t>2</t>
        </is>
      </c>
      <c r="B148" s="2" t="n">
        <v>180</v>
      </c>
      <c r="C148" s="2" t="n">
        <v>200</v>
      </c>
      <c r="D148" s="2" t="n">
        <v>27</v>
      </c>
      <c r="E148" s="2" t="n">
        <v>80</v>
      </c>
      <c r="F148" s="2" t="n">
        <v>414</v>
      </c>
      <c r="G148" s="2" t="n">
        <v>80</v>
      </c>
      <c r="H148" s="2" t="n">
        <v>127</v>
      </c>
      <c r="I148" s="2" t="n">
        <v>0.06</v>
      </c>
      <c r="J148" s="2">
        <f>+G148*F148</f>
        <v/>
      </c>
      <c r="K148" s="2">
        <f>+H148*F148</f>
        <v/>
      </c>
      <c r="L148" s="2">
        <f>+PI()*(C148/2+D148)^2/(360/B148)</f>
        <v/>
      </c>
      <c r="M148" s="2">
        <f>1/2*(C148/2+D148)^2*SIN(B148/180*PI())</f>
        <v/>
      </c>
      <c r="N148" s="2">
        <f>(J148+K148-L148+M148)/1000000</f>
        <v/>
      </c>
      <c r="P148" s="2" t="n">
        <v>2</v>
      </c>
    </row>
    <row r="149">
      <c r="A149" s="2" t="inlineStr">
        <is>
          <t>2</t>
        </is>
      </c>
      <c r="B149" s="2" t="n">
        <v>180</v>
      </c>
      <c r="C149" s="2" t="n">
        <v>250</v>
      </c>
      <c r="D149" s="2" t="n">
        <v>33</v>
      </c>
      <c r="E149" s="2" t="n">
        <v>80</v>
      </c>
      <c r="F149" s="2" t="n">
        <v>476</v>
      </c>
      <c r="G149" s="2" t="n">
        <v>80</v>
      </c>
      <c r="H149" s="2" t="n">
        <v>158</v>
      </c>
      <c r="I149" s="2" t="n">
        <v>0.074</v>
      </c>
      <c r="J149" s="2">
        <f>+G149*F149</f>
        <v/>
      </c>
      <c r="K149" s="2">
        <f>+H149*F149</f>
        <v/>
      </c>
      <c r="L149" s="2">
        <f>+PI()*(C149/2+D149)^2/(360/B149)</f>
        <v/>
      </c>
      <c r="M149" s="2">
        <f>1/2*(C149/2+D149)^2*SIN(B149/180*PI())</f>
        <v/>
      </c>
      <c r="N149" s="2">
        <f>(J149+K149-L149+M149)/1000000</f>
        <v/>
      </c>
      <c r="P149" s="2" t="n">
        <v>2</v>
      </c>
    </row>
    <row r="150">
      <c r="A150" s="2" t="inlineStr">
        <is>
          <t>2</t>
        </is>
      </c>
      <c r="B150" s="2" t="n">
        <v>180</v>
      </c>
      <c r="C150" s="2" t="n">
        <v>300</v>
      </c>
      <c r="D150" s="2" t="n">
        <v>40</v>
      </c>
      <c r="E150" s="2" t="n">
        <v>80</v>
      </c>
      <c r="F150" s="2" t="n">
        <v>540</v>
      </c>
      <c r="G150" s="2" t="n">
        <v>80</v>
      </c>
      <c r="H150" s="2" t="n">
        <v>190</v>
      </c>
      <c r="I150" s="2" t="n">
        <v>0.089</v>
      </c>
      <c r="J150" s="2">
        <f>+G150*F150</f>
        <v/>
      </c>
      <c r="K150" s="2">
        <f>+H150*F150</f>
        <v/>
      </c>
      <c r="L150" s="2">
        <f>+PI()*(C150/2+D150)^2/(360/B150)</f>
        <v/>
      </c>
      <c r="M150" s="2">
        <f>1/2*(C150/2+D150)^2*SIN(B150/180*PI())</f>
        <v/>
      </c>
      <c r="N150" s="2">
        <f>(J150+K150-L150+M150)/1000000</f>
        <v/>
      </c>
      <c r="P150" s="2" t="n">
        <v>2</v>
      </c>
    </row>
    <row r="151">
      <c r="A151" s="2" t="inlineStr">
        <is>
          <t>2</t>
        </is>
      </c>
      <c r="B151" s="2" t="n">
        <v>180</v>
      </c>
      <c r="C151" s="2" t="n">
        <v>350</v>
      </c>
      <c r="D151" s="2" t="n">
        <v>45</v>
      </c>
      <c r="E151" s="2" t="n">
        <v>90</v>
      </c>
      <c r="F151" s="2" t="n">
        <v>620</v>
      </c>
      <c r="G151" s="2" t="n">
        <v>90</v>
      </c>
      <c r="H151" s="2" t="n">
        <v>220</v>
      </c>
      <c r="I151" s="2" t="n">
        <v>0.116</v>
      </c>
      <c r="J151" s="2">
        <f>+G151*F151</f>
        <v/>
      </c>
      <c r="K151" s="2">
        <f>+H151*F151</f>
        <v/>
      </c>
      <c r="L151" s="2">
        <f>+PI()*(C151/2+D151)^2/(360/B151)</f>
        <v/>
      </c>
      <c r="M151" s="2">
        <f>1/2*(C151/2+D151)^2*SIN(B151/180*PI())</f>
        <v/>
      </c>
      <c r="N151" s="2">
        <f>(J151+K151-L151+M151)/1000000</f>
        <v/>
      </c>
      <c r="P151" s="2" t="n">
        <v>2</v>
      </c>
    </row>
    <row r="152">
      <c r="A152" s="2" t="inlineStr">
        <is>
          <t>2</t>
        </is>
      </c>
      <c r="B152" s="2" t="n">
        <v>180</v>
      </c>
      <c r="C152" s="2" t="n">
        <v>400</v>
      </c>
      <c r="D152" s="2" t="n">
        <v>47</v>
      </c>
      <c r="E152" s="2" t="n">
        <v>100</v>
      </c>
      <c r="F152" s="2" t="n">
        <v>694</v>
      </c>
      <c r="G152" s="2" t="n">
        <v>100</v>
      </c>
      <c r="H152" s="2" t="n">
        <v>247</v>
      </c>
      <c r="I152" s="2" t="n">
        <v>0.145</v>
      </c>
      <c r="J152" s="2">
        <f>+G152*F152</f>
        <v/>
      </c>
      <c r="K152" s="2">
        <f>+H152*F152</f>
        <v/>
      </c>
      <c r="L152" s="2">
        <f>+PI()*(C152/2+D152)^2/(360/B152)</f>
        <v/>
      </c>
      <c r="M152" s="2">
        <f>1/2*(C152/2+D152)^2*SIN(B152/180*PI())</f>
        <v/>
      </c>
      <c r="N152" s="2">
        <f>(J152+K152-L152+M152)/1000000</f>
        <v/>
      </c>
      <c r="P152" s="2" t="n">
        <v>2</v>
      </c>
    </row>
    <row r="153">
      <c r="A153" s="2" t="inlineStr">
        <is>
          <t>2</t>
        </is>
      </c>
      <c r="B153" s="2" t="n">
        <v>180</v>
      </c>
      <c r="C153" s="2" t="n">
        <v>450</v>
      </c>
      <c r="D153" s="2" t="n">
        <v>50</v>
      </c>
      <c r="E153" s="2" t="n">
        <v>100</v>
      </c>
      <c r="F153" s="2" t="n">
        <v>750</v>
      </c>
      <c r="G153" s="2" t="n">
        <v>100</v>
      </c>
      <c r="H153" s="2" t="n">
        <v>275</v>
      </c>
      <c r="I153" s="2" t="n">
        <v>0.162</v>
      </c>
      <c r="J153" s="2">
        <f>+G153*F153</f>
        <v/>
      </c>
      <c r="K153" s="2">
        <f>+H153*F153</f>
        <v/>
      </c>
      <c r="L153" s="2">
        <f>+PI()*(C153/2+D153)^2/(360/B153)</f>
        <v/>
      </c>
      <c r="M153" s="2">
        <f>1/2*(C153/2+D153)^2*SIN(B153/180*PI())</f>
        <v/>
      </c>
      <c r="N153" s="2">
        <f>(J153+K153-L153+M153)/1000000</f>
        <v/>
      </c>
      <c r="P153" s="2" t="n">
        <v>2</v>
      </c>
    </row>
    <row r="154">
      <c r="A154" s="2" t="inlineStr">
        <is>
          <t>2</t>
        </is>
      </c>
      <c r="B154" s="2" t="n">
        <v>180</v>
      </c>
      <c r="C154" s="2" t="n">
        <v>500</v>
      </c>
      <c r="D154" s="2" t="n">
        <v>55</v>
      </c>
      <c r="E154" s="2" t="n">
        <v>110</v>
      </c>
      <c r="F154" s="2" t="n">
        <v>830</v>
      </c>
      <c r="G154" s="2" t="n">
        <v>110</v>
      </c>
      <c r="H154" s="2" t="n">
        <v>305</v>
      </c>
      <c r="I154" s="2" t="n">
        <v>0.198</v>
      </c>
      <c r="J154" s="2">
        <f>+G154*F154</f>
        <v/>
      </c>
      <c r="K154" s="2">
        <f>+H154*F154</f>
        <v/>
      </c>
      <c r="L154" s="2">
        <f>+PI()*(C154/2+D154)^2/(360/B154)</f>
        <v/>
      </c>
      <c r="M154" s="2">
        <f>1/2*(C154/2+D154)^2*SIN(B154/180*PI())</f>
        <v/>
      </c>
      <c r="N154" s="2">
        <f>(J154+K154-L154+M154)/1000000</f>
        <v/>
      </c>
      <c r="P154" s="2" t="n">
        <v>2</v>
      </c>
    </row>
    <row r="155">
      <c r="A155" s="2" t="inlineStr">
        <is>
          <t>2</t>
        </is>
      </c>
      <c r="B155" s="2" t="n">
        <v>180</v>
      </c>
      <c r="C155" s="2" t="n">
        <v>600</v>
      </c>
      <c r="D155" s="2" t="n">
        <v>65</v>
      </c>
      <c r="E155" s="2" t="n">
        <v>130</v>
      </c>
      <c r="F155" s="2" t="n">
        <v>990</v>
      </c>
      <c r="G155" s="2" t="n">
        <v>130</v>
      </c>
      <c r="H155" s="2" t="n">
        <v>365</v>
      </c>
      <c r="I155" s="2" t="n">
        <v>0.281</v>
      </c>
      <c r="J155" s="2">
        <f>+G155*F155</f>
        <v/>
      </c>
      <c r="K155" s="2">
        <f>+H155*F155</f>
        <v/>
      </c>
      <c r="L155" s="2">
        <f>+PI()*(C155/2+D155)^2/(360/B155)</f>
        <v/>
      </c>
      <c r="M155" s="2">
        <f>1/2*(C155/2+D155)^2*SIN(B155/180*PI())</f>
        <v/>
      </c>
      <c r="N155" s="2">
        <f>(J155+K155-L155+M155)/1000000</f>
        <v/>
      </c>
      <c r="P155" s="2" t="n">
        <v>2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9"/>
  <sheetViews>
    <sheetView tabSelected="1" workbookViewId="0">
      <pane ySplit="1" topLeftCell="A68" activePane="bottomLeft" state="frozenSplit"/>
      <selection activeCell="A1" sqref="A1:XFD1"/>
      <selection pane="bottomLeft" activeCell="C71" sqref="C71"/>
    </sheetView>
  </sheetViews>
  <sheetFormatPr baseColWidth="8" defaultRowHeight="14.25"/>
  <cols>
    <col width="11.25" bestFit="1" customWidth="1" style="2" min="1" max="1"/>
    <col width="9" customWidth="1" style="2" min="2" max="16384"/>
  </cols>
  <sheetData>
    <row r="1">
      <c r="A1" s="2" t="inlineStr">
        <is>
          <t>level</t>
        </is>
      </c>
      <c r="B1" s="2" t="inlineStr">
        <is>
          <t>angle</t>
        </is>
      </c>
      <c r="C1" s="2" t="inlineStr">
        <is>
          <t>D</t>
        </is>
      </c>
      <c r="D1" s="2" t="inlineStr">
        <is>
          <t>t</t>
        </is>
      </c>
      <c r="E1" s="2" t="inlineStr">
        <is>
          <t>a</t>
        </is>
      </c>
      <c r="F1" s="2" t="inlineStr">
        <is>
          <t>B</t>
        </is>
      </c>
      <c r="G1" s="2" t="inlineStr">
        <is>
          <t>C1</t>
        </is>
      </c>
      <c r="H1" s="2" t="inlineStr">
        <is>
          <t>C2</t>
        </is>
      </c>
      <c r="I1" s="2" t="inlineStr">
        <is>
          <t>Q</t>
        </is>
      </c>
    </row>
    <row r="2" customFormat="1" s="3">
      <c r="A2" s="3" t="inlineStr">
        <is>
          <t>06MS201-1</t>
        </is>
      </c>
      <c r="B2" s="3" t="inlineStr">
        <is>
          <t>8</t>
        </is>
      </c>
      <c r="C2" s="3" t="inlineStr">
        <is>
          <t>90°</t>
        </is>
      </c>
      <c r="D2" s="3" t="inlineStr">
        <is>
          <t>钢筋混凝土管90度砂石基础</t>
        </is>
      </c>
      <c r="P2" s="3" t="inlineStr">
        <is>
          <t>图集标识等级</t>
        </is>
      </c>
    </row>
    <row r="3">
      <c r="A3" s="2" t="inlineStr">
        <is>
          <t>非预应力</t>
        </is>
      </c>
      <c r="B3" s="2" t="n">
        <v>90</v>
      </c>
      <c r="C3" s="2" t="n">
        <v>600</v>
      </c>
      <c r="D3" s="2" t="n">
        <v>60</v>
      </c>
      <c r="E3" s="2" t="n">
        <v>500</v>
      </c>
      <c r="F3" s="6" t="n">
        <v>2800</v>
      </c>
      <c r="G3" s="2" t="n">
        <v>100</v>
      </c>
      <c r="H3" s="2" t="n">
        <v>105</v>
      </c>
      <c r="I3" s="2" t="inlineStr">
        <is>
          <t>0</t>
        </is>
      </c>
    </row>
    <row r="4">
      <c r="A4" s="2" t="inlineStr">
        <is>
          <t>非预应力</t>
        </is>
      </c>
      <c r="B4" s="2" t="n">
        <v>90</v>
      </c>
      <c r="C4" s="2" t="n">
        <v>700</v>
      </c>
      <c r="D4" s="2" t="n">
        <v>70</v>
      </c>
      <c r="E4" s="2" t="n">
        <v>500</v>
      </c>
      <c r="F4" s="6" t="n">
        <v>3100</v>
      </c>
      <c r="G4" s="2" t="n">
        <v>150</v>
      </c>
      <c r="H4" s="2" t="n">
        <v>123</v>
      </c>
      <c r="I4" s="2" t="inlineStr">
        <is>
          <t>0</t>
        </is>
      </c>
    </row>
    <row r="5">
      <c r="A5" s="2" t="inlineStr">
        <is>
          <t>非预应力</t>
        </is>
      </c>
      <c r="B5" s="2" t="n">
        <v>90</v>
      </c>
      <c r="C5" s="2" t="n">
        <v>800</v>
      </c>
      <c r="D5" s="2" t="n">
        <v>80</v>
      </c>
      <c r="E5" s="2" t="n">
        <v>500</v>
      </c>
      <c r="F5" s="6" t="n">
        <v>3400</v>
      </c>
      <c r="G5" s="2" t="n">
        <v>150</v>
      </c>
      <c r="H5" s="2" t="n">
        <v>141</v>
      </c>
      <c r="I5" s="2" t="inlineStr">
        <is>
          <t>0</t>
        </is>
      </c>
    </row>
    <row r="6">
      <c r="A6" s="2" t="inlineStr">
        <is>
          <t>非预应力</t>
        </is>
      </c>
      <c r="B6" s="2" t="n">
        <v>90</v>
      </c>
      <c r="C6" s="2" t="n">
        <v>900</v>
      </c>
      <c r="D6" s="2" t="n">
        <v>90</v>
      </c>
      <c r="E6" s="2" t="n">
        <v>500</v>
      </c>
      <c r="F6" s="6" t="n">
        <v>3700</v>
      </c>
      <c r="G6" s="2" t="n">
        <v>200</v>
      </c>
      <c r="H6" s="2" t="n">
        <v>158</v>
      </c>
      <c r="I6" s="2" t="inlineStr">
        <is>
          <t>0</t>
        </is>
      </c>
    </row>
    <row r="7">
      <c r="A7" s="2" t="inlineStr">
        <is>
          <t>非预应力</t>
        </is>
      </c>
      <c r="B7" s="2" t="n">
        <v>90</v>
      </c>
      <c r="C7" s="2" t="n">
        <v>1000</v>
      </c>
      <c r="D7" s="2" t="n">
        <v>100</v>
      </c>
      <c r="E7" s="2" t="n">
        <v>500</v>
      </c>
      <c r="F7" s="6" t="n">
        <v>4000</v>
      </c>
      <c r="G7" s="2" t="n">
        <v>200</v>
      </c>
      <c r="H7" s="2" t="n">
        <v>176</v>
      </c>
      <c r="I7" s="2" t="inlineStr">
        <is>
          <t>0</t>
        </is>
      </c>
    </row>
    <row r="8">
      <c r="A8" s="2" t="inlineStr">
        <is>
          <t>非预应力</t>
        </is>
      </c>
      <c r="B8" s="2" t="n">
        <v>90</v>
      </c>
      <c r="C8" s="2" t="n">
        <v>1100</v>
      </c>
      <c r="D8" s="2" t="n">
        <v>110</v>
      </c>
      <c r="E8" s="2" t="n">
        <v>600</v>
      </c>
      <c r="F8" s="6" t="n">
        <v>4500</v>
      </c>
      <c r="G8" s="2" t="n">
        <v>200</v>
      </c>
      <c r="H8" s="2" t="n">
        <v>193</v>
      </c>
      <c r="I8" s="2" t="inlineStr">
        <is>
          <t>0</t>
        </is>
      </c>
    </row>
    <row r="9">
      <c r="A9" s="2" t="inlineStr">
        <is>
          <t>非预应力</t>
        </is>
      </c>
      <c r="B9" s="2" t="n">
        <v>90</v>
      </c>
      <c r="C9" s="2" t="n">
        <v>1200</v>
      </c>
      <c r="D9" s="2" t="n">
        <v>120</v>
      </c>
      <c r="E9" s="2" t="n">
        <v>600</v>
      </c>
      <c r="F9" s="6" t="n">
        <v>4800</v>
      </c>
      <c r="G9" s="2" t="n">
        <v>250</v>
      </c>
      <c r="H9" s="2" t="n">
        <v>211</v>
      </c>
      <c r="I9" s="2" t="inlineStr">
        <is>
          <t>0</t>
        </is>
      </c>
    </row>
    <row r="10">
      <c r="A10" s="2" t="inlineStr">
        <is>
          <t>非预应力</t>
        </is>
      </c>
      <c r="B10" s="2" t="n">
        <v>90</v>
      </c>
      <c r="C10" s="2" t="n">
        <v>1350</v>
      </c>
      <c r="D10" s="2" t="n">
        <v>135</v>
      </c>
      <c r="E10" s="2" t="n">
        <v>600</v>
      </c>
      <c r="F10" s="6" t="n">
        <v>5250</v>
      </c>
      <c r="G10" s="2" t="n">
        <v>250</v>
      </c>
      <c r="H10" s="2" t="n">
        <v>237</v>
      </c>
      <c r="I10" s="2" t="inlineStr">
        <is>
          <t>0</t>
        </is>
      </c>
    </row>
    <row r="11">
      <c r="A11" s="2" t="inlineStr">
        <is>
          <t>非预应力</t>
        </is>
      </c>
      <c r="B11" s="2" t="n">
        <v>90</v>
      </c>
      <c r="C11" s="2" t="n">
        <v>1500</v>
      </c>
      <c r="D11" s="2" t="n">
        <v>150</v>
      </c>
      <c r="E11" s="2" t="n">
        <v>600</v>
      </c>
      <c r="F11" s="6" t="n">
        <v>5700</v>
      </c>
      <c r="G11" s="2" t="n">
        <v>300</v>
      </c>
      <c r="H11" s="2" t="n">
        <v>264</v>
      </c>
      <c r="I11" s="2" t="inlineStr">
        <is>
          <t>0</t>
        </is>
      </c>
    </row>
    <row r="12">
      <c r="A12" s="2" t="inlineStr">
        <is>
          <t>非预应力</t>
        </is>
      </c>
      <c r="B12" s="2" t="n">
        <v>90</v>
      </c>
      <c r="C12" s="2" t="n">
        <v>1650</v>
      </c>
      <c r="D12" s="2" t="n">
        <v>165</v>
      </c>
      <c r="E12" s="2" t="n">
        <v>800</v>
      </c>
      <c r="F12" s="6" t="n">
        <v>6550</v>
      </c>
      <c r="G12" s="2" t="n">
        <v>300</v>
      </c>
      <c r="H12" s="2" t="n">
        <v>290</v>
      </c>
      <c r="I12" s="2" t="inlineStr">
        <is>
          <t>0</t>
        </is>
      </c>
    </row>
    <row r="13">
      <c r="A13" s="2" t="inlineStr">
        <is>
          <t>非预应力</t>
        </is>
      </c>
      <c r="B13" s="2" t="n">
        <v>90</v>
      </c>
      <c r="C13" s="2" t="n">
        <v>1800</v>
      </c>
      <c r="D13" s="2" t="n">
        <v>180</v>
      </c>
      <c r="E13" s="2" t="n">
        <v>800</v>
      </c>
      <c r="F13" s="6" t="n">
        <v>7000</v>
      </c>
      <c r="G13" s="2" t="n">
        <v>300</v>
      </c>
      <c r="H13" s="2" t="n">
        <v>316</v>
      </c>
      <c r="I13" s="2" t="inlineStr">
        <is>
          <t>0</t>
        </is>
      </c>
    </row>
    <row r="14">
      <c r="A14" s="2" t="inlineStr">
        <is>
          <t>非预应力</t>
        </is>
      </c>
      <c r="B14" s="2" t="n">
        <v>90</v>
      </c>
      <c r="C14" s="2" t="n">
        <v>2000</v>
      </c>
      <c r="D14" s="2" t="n">
        <v>200</v>
      </c>
      <c r="E14" s="2" t="n">
        <v>800</v>
      </c>
      <c r="F14" s="6" t="n">
        <v>7600</v>
      </c>
      <c r="G14" s="2" t="n">
        <v>300</v>
      </c>
      <c r="H14" s="2" t="n">
        <v>351</v>
      </c>
      <c r="I14" s="2" t="inlineStr">
        <is>
          <t>0</t>
        </is>
      </c>
    </row>
    <row r="15">
      <c r="A15" s="2" t="inlineStr">
        <is>
          <t>非预应力</t>
        </is>
      </c>
      <c r="B15" s="2" t="n">
        <v>90</v>
      </c>
      <c r="C15" s="2" t="n">
        <v>2200</v>
      </c>
      <c r="D15" s="2" t="n">
        <v>220</v>
      </c>
      <c r="E15" s="2" t="n">
        <v>800</v>
      </c>
      <c r="F15" s="6" t="n">
        <v>8200</v>
      </c>
      <c r="G15" s="2" t="n">
        <v>300</v>
      </c>
      <c r="H15" s="2" t="n">
        <v>387</v>
      </c>
      <c r="I15" s="2" t="inlineStr">
        <is>
          <t>0</t>
        </is>
      </c>
    </row>
    <row r="16">
      <c r="A16" s="2" t="inlineStr">
        <is>
          <t>非预应力</t>
        </is>
      </c>
      <c r="B16" s="2" t="n">
        <v>90</v>
      </c>
      <c r="C16" s="2" t="n">
        <v>2400</v>
      </c>
      <c r="D16" s="2" t="n">
        <v>230</v>
      </c>
      <c r="E16" s="2" t="n">
        <v>800</v>
      </c>
      <c r="F16" s="6" t="n">
        <v>8800</v>
      </c>
      <c r="G16" s="2" t="n">
        <v>300</v>
      </c>
      <c r="H16" s="2" t="n">
        <v>419</v>
      </c>
      <c r="I16" s="2" t="inlineStr">
        <is>
          <t>0</t>
        </is>
      </c>
    </row>
    <row r="17">
      <c r="A17" s="2" t="inlineStr">
        <is>
          <t>非预应力</t>
        </is>
      </c>
      <c r="B17" s="2" t="n">
        <v>90</v>
      </c>
      <c r="C17" s="2" t="n">
        <v>2600</v>
      </c>
      <c r="D17" s="2" t="n">
        <v>235</v>
      </c>
      <c r="E17" s="2" t="n">
        <v>800</v>
      </c>
      <c r="F17" s="6" t="n">
        <v>9400</v>
      </c>
      <c r="G17" s="2" t="n">
        <v>300</v>
      </c>
      <c r="H17" s="2" t="n">
        <v>450</v>
      </c>
      <c r="I17" s="2" t="inlineStr">
        <is>
          <t>0</t>
        </is>
      </c>
    </row>
    <row r="18">
      <c r="A18" s="2" t="inlineStr">
        <is>
          <t>非预应力</t>
        </is>
      </c>
      <c r="B18" s="2" t="n">
        <v>90</v>
      </c>
      <c r="C18" s="2" t="n">
        <v>2800</v>
      </c>
      <c r="D18" s="2" t="n">
        <v>255</v>
      </c>
      <c r="E18" s="2" t="n">
        <v>800</v>
      </c>
      <c r="F18" s="6" t="n">
        <v>10000</v>
      </c>
      <c r="G18" s="2" t="n">
        <v>300</v>
      </c>
      <c r="H18" s="2" t="n">
        <v>485</v>
      </c>
      <c r="I18" s="2" t="inlineStr">
        <is>
          <t>0</t>
        </is>
      </c>
    </row>
    <row r="19">
      <c r="A19" s="2" t="inlineStr">
        <is>
          <t>非预应力</t>
        </is>
      </c>
      <c r="B19" s="2" t="n">
        <v>90</v>
      </c>
      <c r="C19" s="2" t="n">
        <v>3000</v>
      </c>
      <c r="D19" s="2" t="n">
        <v>275</v>
      </c>
      <c r="E19" s="2" t="n">
        <v>800</v>
      </c>
      <c r="F19" s="6" t="n">
        <v>10600</v>
      </c>
      <c r="G19" s="2" t="n">
        <v>300</v>
      </c>
      <c r="H19" s="2" t="n">
        <v>520</v>
      </c>
      <c r="I19" s="2" t="inlineStr">
        <is>
          <t>0</t>
        </is>
      </c>
    </row>
    <row r="20" customFormat="1" s="3">
      <c r="A20" s="3" t="inlineStr">
        <is>
          <t>06MS201-1</t>
        </is>
      </c>
      <c r="B20" s="3" t="inlineStr">
        <is>
          <t>9</t>
        </is>
      </c>
      <c r="C20" s="3" t="inlineStr">
        <is>
          <t>120°</t>
        </is>
      </c>
      <c r="D20" s="3" t="inlineStr">
        <is>
          <t>钢筋混凝土管120度砂石基础</t>
        </is>
      </c>
      <c r="P20" s="3" t="inlineStr">
        <is>
          <t>图集标识等级</t>
        </is>
      </c>
    </row>
    <row r="21">
      <c r="A21" s="2" t="inlineStr">
        <is>
          <t>非预应力</t>
        </is>
      </c>
      <c r="B21" s="2" t="n">
        <v>120</v>
      </c>
      <c r="C21" s="2" t="n">
        <v>400</v>
      </c>
      <c r="D21" s="2" t="n">
        <v>40</v>
      </c>
      <c r="E21" s="2" t="n">
        <v>400</v>
      </c>
      <c r="F21" s="6" t="n">
        <v>1280</v>
      </c>
      <c r="G21" s="2" t="n">
        <v>100</v>
      </c>
      <c r="H21" s="2" t="n">
        <v>120</v>
      </c>
      <c r="I21" s="2" t="inlineStr">
        <is>
          <t>0</t>
        </is>
      </c>
    </row>
    <row r="22">
      <c r="A22" s="2" t="inlineStr">
        <is>
          <t>非预应力</t>
        </is>
      </c>
      <c r="B22" s="2" t="n">
        <v>120</v>
      </c>
      <c r="C22" s="2" t="n">
        <v>500</v>
      </c>
      <c r="D22" s="2" t="n">
        <v>50</v>
      </c>
      <c r="E22" s="2" t="n">
        <v>400</v>
      </c>
      <c r="F22" s="6" t="n">
        <v>2300</v>
      </c>
      <c r="G22" s="2" t="n">
        <v>100</v>
      </c>
      <c r="H22" s="2" t="n">
        <v>150</v>
      </c>
      <c r="I22" s="2" t="inlineStr">
        <is>
          <t>0</t>
        </is>
      </c>
    </row>
    <row r="23">
      <c r="A23" s="2" t="inlineStr">
        <is>
          <t>非预应力</t>
        </is>
      </c>
      <c r="B23" s="2" t="n">
        <v>120</v>
      </c>
      <c r="C23" s="2" t="n">
        <v>600</v>
      </c>
      <c r="D23" s="2" t="n">
        <v>60</v>
      </c>
      <c r="E23" s="2" t="n">
        <v>500</v>
      </c>
      <c r="F23" s="6" t="n">
        <v>1720</v>
      </c>
      <c r="G23" s="2" t="n">
        <v>100</v>
      </c>
      <c r="H23" s="2" t="n">
        <v>180</v>
      </c>
      <c r="I23" s="2" t="inlineStr">
        <is>
          <t>0</t>
        </is>
      </c>
    </row>
    <row r="24">
      <c r="A24" s="2" t="inlineStr">
        <is>
          <t>非预应力</t>
        </is>
      </c>
      <c r="B24" s="2" t="n">
        <v>120</v>
      </c>
      <c r="C24" s="2" t="n">
        <v>700</v>
      </c>
      <c r="D24" s="2" t="n">
        <v>70</v>
      </c>
      <c r="E24" s="2" t="n">
        <v>500</v>
      </c>
      <c r="F24" s="6" t="n">
        <v>1840</v>
      </c>
      <c r="G24" s="2" t="n">
        <v>150</v>
      </c>
      <c r="H24" s="2" t="n">
        <v>210</v>
      </c>
      <c r="I24" s="2" t="inlineStr">
        <is>
          <t>0</t>
        </is>
      </c>
    </row>
    <row r="25">
      <c r="A25" s="2" t="inlineStr">
        <is>
          <t>非预应力</t>
        </is>
      </c>
      <c r="B25" s="2" t="n">
        <v>120</v>
      </c>
      <c r="C25" s="2" t="n">
        <v>800</v>
      </c>
      <c r="D25" s="2" t="n">
        <v>80</v>
      </c>
      <c r="E25" s="2" t="n">
        <v>500</v>
      </c>
      <c r="F25" s="6" t="n">
        <v>3400</v>
      </c>
      <c r="G25" s="2" t="n">
        <v>150</v>
      </c>
      <c r="H25" s="2" t="n">
        <v>240</v>
      </c>
      <c r="I25" s="2" t="inlineStr">
        <is>
          <t>0</t>
        </is>
      </c>
    </row>
    <row r="26">
      <c r="A26" s="2" t="inlineStr">
        <is>
          <t>非预应力</t>
        </is>
      </c>
      <c r="B26" s="2" t="n">
        <v>120</v>
      </c>
      <c r="C26" s="2" t="n">
        <v>900</v>
      </c>
      <c r="D26" s="2" t="n">
        <v>90</v>
      </c>
      <c r="E26" s="2" t="n">
        <v>500</v>
      </c>
      <c r="F26" s="6" t="n">
        <v>3700</v>
      </c>
      <c r="G26" s="2" t="n">
        <v>200</v>
      </c>
      <c r="H26" s="2" t="n">
        <v>270</v>
      </c>
      <c r="I26" s="2" t="inlineStr">
        <is>
          <t>0</t>
        </is>
      </c>
    </row>
    <row r="27">
      <c r="A27" s="2" t="inlineStr">
        <is>
          <t>非预应力</t>
        </is>
      </c>
      <c r="B27" s="2" t="n">
        <v>120</v>
      </c>
      <c r="C27" s="2" t="n">
        <v>1000</v>
      </c>
      <c r="D27" s="2" t="n">
        <v>100</v>
      </c>
      <c r="E27" s="2" t="n">
        <v>500</v>
      </c>
      <c r="F27" s="6" t="n">
        <v>4000</v>
      </c>
      <c r="G27" s="2" t="n">
        <v>200</v>
      </c>
      <c r="H27" s="2" t="n">
        <v>300</v>
      </c>
      <c r="I27" s="2" t="inlineStr">
        <is>
          <t>0</t>
        </is>
      </c>
    </row>
    <row r="28">
      <c r="A28" s="2" t="inlineStr">
        <is>
          <t>非预应力</t>
        </is>
      </c>
      <c r="B28" s="2" t="n">
        <v>120</v>
      </c>
      <c r="C28" s="2" t="n">
        <v>1100</v>
      </c>
      <c r="D28" s="2" t="n">
        <v>110</v>
      </c>
      <c r="E28" s="2" t="n">
        <v>600</v>
      </c>
      <c r="F28" s="6" t="n">
        <v>4500</v>
      </c>
      <c r="G28" s="2" t="n">
        <v>200</v>
      </c>
      <c r="H28" s="2" t="n">
        <v>330</v>
      </c>
      <c r="I28" s="2" t="inlineStr">
        <is>
          <t>0</t>
        </is>
      </c>
    </row>
    <row r="29">
      <c r="A29" s="2" t="inlineStr">
        <is>
          <t>非预应力</t>
        </is>
      </c>
      <c r="B29" s="2" t="n">
        <v>120</v>
      </c>
      <c r="C29" s="2" t="n">
        <v>1200</v>
      </c>
      <c r="D29" s="2" t="n">
        <v>120</v>
      </c>
      <c r="E29" s="2" t="n">
        <v>600</v>
      </c>
      <c r="F29" s="6" t="n">
        <v>4800</v>
      </c>
      <c r="G29" s="2" t="n">
        <v>250</v>
      </c>
      <c r="H29" s="2" t="n">
        <v>360</v>
      </c>
      <c r="I29" s="2" t="inlineStr">
        <is>
          <t>0</t>
        </is>
      </c>
    </row>
    <row r="30">
      <c r="A30" s="2" t="inlineStr">
        <is>
          <t>非预应力</t>
        </is>
      </c>
      <c r="B30" s="2" t="n">
        <v>120</v>
      </c>
      <c r="C30" s="2" t="n">
        <v>1350</v>
      </c>
      <c r="D30" s="2" t="n">
        <v>135</v>
      </c>
      <c r="E30" s="2" t="n">
        <v>600</v>
      </c>
      <c r="F30" s="6" t="n">
        <v>5250</v>
      </c>
      <c r="G30" s="2" t="n">
        <v>250</v>
      </c>
      <c r="H30" s="2" t="n">
        <v>405</v>
      </c>
      <c r="I30" s="2" t="inlineStr">
        <is>
          <t>0</t>
        </is>
      </c>
    </row>
    <row r="31">
      <c r="A31" s="2" t="inlineStr">
        <is>
          <t>非预应力</t>
        </is>
      </c>
      <c r="B31" s="2" t="n">
        <v>120</v>
      </c>
      <c r="C31" s="2" t="n">
        <v>1500</v>
      </c>
      <c r="D31" s="2" t="n">
        <v>150</v>
      </c>
      <c r="E31" s="2" t="n">
        <v>600</v>
      </c>
      <c r="F31" s="6" t="n">
        <v>5700</v>
      </c>
      <c r="G31" s="2" t="n">
        <v>300</v>
      </c>
      <c r="H31" s="2" t="n">
        <v>450</v>
      </c>
      <c r="I31" s="2" t="inlineStr">
        <is>
          <t>0</t>
        </is>
      </c>
    </row>
    <row r="32">
      <c r="A32" s="2" t="inlineStr">
        <is>
          <t>非预应力</t>
        </is>
      </c>
      <c r="B32" s="2" t="n">
        <v>120</v>
      </c>
      <c r="C32" s="2" t="n">
        <v>1650</v>
      </c>
      <c r="D32" s="2" t="n">
        <v>165</v>
      </c>
      <c r="E32" s="2" t="n">
        <v>800</v>
      </c>
      <c r="F32" s="6" t="n">
        <v>6550</v>
      </c>
      <c r="G32" s="2" t="n">
        <v>300</v>
      </c>
      <c r="H32" s="2" t="n">
        <v>495</v>
      </c>
      <c r="I32" s="2" t="inlineStr">
        <is>
          <t>0</t>
        </is>
      </c>
    </row>
    <row r="33">
      <c r="A33" s="2" t="inlineStr">
        <is>
          <t>非预应力</t>
        </is>
      </c>
      <c r="B33" s="2" t="n">
        <v>120</v>
      </c>
      <c r="C33" s="2" t="n">
        <v>1800</v>
      </c>
      <c r="D33" s="2" t="n">
        <v>180</v>
      </c>
      <c r="E33" s="2" t="n">
        <v>800</v>
      </c>
      <c r="F33" s="6" t="n">
        <v>7000</v>
      </c>
      <c r="G33" s="2" t="n">
        <v>300</v>
      </c>
      <c r="H33" s="2" t="n">
        <v>540</v>
      </c>
      <c r="I33" s="2" t="inlineStr">
        <is>
          <t>0</t>
        </is>
      </c>
    </row>
    <row r="34">
      <c r="A34" s="2" t="inlineStr">
        <is>
          <t>非预应力</t>
        </is>
      </c>
      <c r="B34" s="2" t="n">
        <v>120</v>
      </c>
      <c r="C34" s="2" t="n">
        <v>2000</v>
      </c>
      <c r="D34" s="2" t="n">
        <v>200</v>
      </c>
      <c r="E34" s="2" t="n">
        <v>800</v>
      </c>
      <c r="F34" s="6" t="n">
        <v>7600</v>
      </c>
      <c r="G34" s="2" t="n">
        <v>300</v>
      </c>
      <c r="H34" s="2" t="n">
        <v>600</v>
      </c>
      <c r="I34" s="2" t="inlineStr">
        <is>
          <t>0</t>
        </is>
      </c>
    </row>
    <row r="35">
      <c r="A35" s="2" t="inlineStr">
        <is>
          <t>非预应力</t>
        </is>
      </c>
      <c r="B35" s="2" t="n">
        <v>120</v>
      </c>
      <c r="C35" s="2" t="n">
        <v>2200</v>
      </c>
      <c r="D35" s="2" t="n">
        <v>220</v>
      </c>
      <c r="E35" s="2" t="n">
        <v>800</v>
      </c>
      <c r="F35" s="6" t="n">
        <v>8200</v>
      </c>
      <c r="G35" s="2" t="n">
        <v>300</v>
      </c>
      <c r="H35" s="2" t="n">
        <v>660</v>
      </c>
      <c r="I35" s="2" t="inlineStr">
        <is>
          <t>0</t>
        </is>
      </c>
    </row>
    <row r="36">
      <c r="A36" s="2" t="inlineStr">
        <is>
          <t>非预应力</t>
        </is>
      </c>
      <c r="B36" s="2" t="n">
        <v>120</v>
      </c>
      <c r="C36" s="2" t="n">
        <v>2400</v>
      </c>
      <c r="D36" s="2" t="n">
        <v>230</v>
      </c>
      <c r="E36" s="2" t="n">
        <v>800</v>
      </c>
      <c r="F36" s="6" t="n">
        <v>8800</v>
      </c>
      <c r="G36" s="2" t="n">
        <v>300</v>
      </c>
      <c r="H36" s="2" t="n">
        <v>715</v>
      </c>
      <c r="I36" s="2" t="inlineStr">
        <is>
          <t>0</t>
        </is>
      </c>
    </row>
    <row r="37">
      <c r="A37" s="2" t="inlineStr">
        <is>
          <t>非预应力</t>
        </is>
      </c>
      <c r="B37" s="2" t="n">
        <v>120</v>
      </c>
      <c r="C37" s="2" t="n">
        <v>2600</v>
      </c>
      <c r="D37" s="2" t="n">
        <v>235</v>
      </c>
      <c r="E37" s="2" t="n">
        <v>800</v>
      </c>
      <c r="F37" s="6" t="n">
        <v>9400</v>
      </c>
      <c r="G37" s="2" t="n">
        <v>300</v>
      </c>
      <c r="H37" s="2" t="n">
        <v>768</v>
      </c>
      <c r="I37" s="2" t="inlineStr">
        <is>
          <t>0</t>
        </is>
      </c>
    </row>
    <row r="38">
      <c r="A38" s="2" t="inlineStr">
        <is>
          <t>非预应力</t>
        </is>
      </c>
      <c r="B38" s="2" t="n">
        <v>120</v>
      </c>
      <c r="C38" s="2" t="n">
        <v>2800</v>
      </c>
      <c r="D38" s="2" t="n">
        <v>255</v>
      </c>
      <c r="E38" s="2" t="n">
        <v>800</v>
      </c>
      <c r="F38" s="6" t="n">
        <v>10000</v>
      </c>
      <c r="G38" s="2" t="n">
        <v>300</v>
      </c>
      <c r="H38" s="2" t="n">
        <v>828</v>
      </c>
      <c r="I38" s="2" t="inlineStr">
        <is>
          <t>0</t>
        </is>
      </c>
    </row>
    <row r="39" customFormat="1" s="4">
      <c r="A39" s="2" t="inlineStr">
        <is>
          <t>非预应力</t>
        </is>
      </c>
      <c r="B39" s="2" t="n">
        <v>120</v>
      </c>
      <c r="C39" s="2" t="n">
        <v>3000</v>
      </c>
      <c r="D39" s="2" t="n">
        <v>275</v>
      </c>
      <c r="E39" s="2" t="n">
        <v>800</v>
      </c>
      <c r="F39" s="6" t="n">
        <v>5150</v>
      </c>
      <c r="G39" s="2" t="n">
        <v>300</v>
      </c>
      <c r="H39" s="2" t="n">
        <v>888</v>
      </c>
      <c r="I39" s="2" t="inlineStr">
        <is>
          <t>0</t>
        </is>
      </c>
    </row>
    <row r="40">
      <c r="A40" s="3" t="inlineStr">
        <is>
          <t>06MS201-1</t>
        </is>
      </c>
      <c r="B40" s="3" t="inlineStr">
        <is>
          <t>10</t>
        </is>
      </c>
      <c r="C40" s="3" t="inlineStr">
        <is>
          <t>150°</t>
        </is>
      </c>
      <c r="D40" s="3" t="inlineStr">
        <is>
          <t>钢筋混凝土管150度砂石基础</t>
        </is>
      </c>
      <c r="P40" s="3" t="inlineStr">
        <is>
          <t>图集标识等级</t>
        </is>
      </c>
    </row>
    <row r="41" customFormat="1" s="3">
      <c r="A41" s="2" t="inlineStr">
        <is>
          <t>非预应力</t>
        </is>
      </c>
      <c r="B41" s="2" t="n">
        <v>150</v>
      </c>
      <c r="C41" s="2" t="n">
        <v>300</v>
      </c>
      <c r="D41" s="2" t="n">
        <v>30</v>
      </c>
      <c r="E41" s="2" t="n">
        <v>400</v>
      </c>
      <c r="F41" s="6" t="n">
        <v>1700</v>
      </c>
      <c r="G41" s="2" t="n">
        <v>100</v>
      </c>
      <c r="H41" s="2" t="n">
        <v>133</v>
      </c>
    </row>
    <row r="42">
      <c r="A42" s="2" t="inlineStr">
        <is>
          <t>非预应力</t>
        </is>
      </c>
      <c r="B42" s="2" t="n">
        <v>150</v>
      </c>
      <c r="C42" s="2" t="n">
        <v>400</v>
      </c>
      <c r="D42" s="2" t="n">
        <v>40</v>
      </c>
      <c r="E42" s="2" t="n">
        <v>400</v>
      </c>
      <c r="F42" s="6" t="n">
        <v>2000</v>
      </c>
      <c r="G42" s="2" t="n">
        <v>100</v>
      </c>
      <c r="H42" s="2" t="n">
        <v>178</v>
      </c>
      <c r="I42" s="2" t="inlineStr">
        <is>
          <t>0</t>
        </is>
      </c>
    </row>
    <row r="43">
      <c r="A43" s="2" t="inlineStr">
        <is>
          <t>非预应力</t>
        </is>
      </c>
      <c r="B43" s="2" t="n">
        <v>150</v>
      </c>
      <c r="C43" s="2" t="n">
        <v>500</v>
      </c>
      <c r="D43" s="2" t="n">
        <v>50</v>
      </c>
      <c r="E43" s="2" t="n">
        <v>400</v>
      </c>
      <c r="F43" s="6" t="n">
        <v>2300</v>
      </c>
      <c r="G43" s="2" t="n">
        <v>100</v>
      </c>
      <c r="H43" s="2" t="n">
        <v>222</v>
      </c>
      <c r="I43" s="2" t="inlineStr">
        <is>
          <t>0</t>
        </is>
      </c>
    </row>
    <row r="44">
      <c r="A44" s="2" t="inlineStr">
        <is>
          <t>非预应力</t>
        </is>
      </c>
      <c r="B44" s="2" t="n">
        <v>150</v>
      </c>
      <c r="C44" s="2" t="n">
        <v>600</v>
      </c>
      <c r="D44" s="2" t="n">
        <v>60</v>
      </c>
      <c r="E44" s="2" t="n">
        <v>500</v>
      </c>
      <c r="F44" s="6" t="n">
        <v>2800</v>
      </c>
      <c r="G44" s="2" t="n">
        <v>100</v>
      </c>
      <c r="H44" s="2" t="n">
        <v>267</v>
      </c>
      <c r="I44" s="2" t="inlineStr">
        <is>
          <t>0</t>
        </is>
      </c>
    </row>
    <row r="45">
      <c r="A45" s="2" t="inlineStr">
        <is>
          <t>非预应力</t>
        </is>
      </c>
      <c r="B45" s="2" t="n">
        <v>150</v>
      </c>
      <c r="C45" s="2" t="n">
        <v>700</v>
      </c>
      <c r="D45" s="2" t="n">
        <v>70</v>
      </c>
      <c r="E45" s="2" t="n">
        <v>500</v>
      </c>
      <c r="F45" s="6" t="n">
        <v>3100</v>
      </c>
      <c r="G45" s="2" t="n">
        <v>150</v>
      </c>
      <c r="H45" s="2" t="n">
        <v>311</v>
      </c>
      <c r="I45" s="2" t="inlineStr">
        <is>
          <t>0</t>
        </is>
      </c>
    </row>
    <row r="46">
      <c r="A46" s="2" t="inlineStr">
        <is>
          <t>非预应力</t>
        </is>
      </c>
      <c r="B46" s="2" t="n">
        <v>150</v>
      </c>
      <c r="C46" s="2" t="n">
        <v>800</v>
      </c>
      <c r="D46" s="2" t="n">
        <v>80</v>
      </c>
      <c r="E46" s="2" t="n">
        <v>500</v>
      </c>
      <c r="F46" s="6" t="n">
        <v>3400</v>
      </c>
      <c r="G46" s="2" t="n">
        <v>150</v>
      </c>
      <c r="H46" s="2" t="n">
        <v>356</v>
      </c>
      <c r="I46" s="2" t="inlineStr">
        <is>
          <t>0</t>
        </is>
      </c>
    </row>
    <row r="47">
      <c r="A47" s="2" t="inlineStr">
        <is>
          <t>非预应力</t>
        </is>
      </c>
      <c r="B47" s="2" t="n">
        <v>150</v>
      </c>
      <c r="C47" s="2" t="n">
        <v>900</v>
      </c>
      <c r="D47" s="2" t="n">
        <v>90</v>
      </c>
      <c r="E47" s="2" t="n">
        <v>500</v>
      </c>
      <c r="F47" s="6" t="n">
        <v>3700</v>
      </c>
      <c r="G47" s="2" t="n">
        <v>200</v>
      </c>
      <c r="H47" s="2" t="n">
        <v>400</v>
      </c>
      <c r="I47" s="2" t="inlineStr">
        <is>
          <t>0</t>
        </is>
      </c>
    </row>
    <row r="48">
      <c r="A48" s="2" t="inlineStr">
        <is>
          <t>非预应力</t>
        </is>
      </c>
      <c r="B48" s="2" t="n">
        <v>150</v>
      </c>
      <c r="C48" s="2" t="n">
        <v>1000</v>
      </c>
      <c r="D48" s="2" t="n">
        <v>100</v>
      </c>
      <c r="E48" s="2" t="n">
        <v>500</v>
      </c>
      <c r="F48" s="6" t="n">
        <v>4000</v>
      </c>
      <c r="G48" s="2" t="n">
        <v>200</v>
      </c>
      <c r="H48" s="2" t="n">
        <v>445</v>
      </c>
      <c r="I48" s="2" t="inlineStr">
        <is>
          <t>0</t>
        </is>
      </c>
    </row>
    <row r="49">
      <c r="A49" s="2" t="inlineStr">
        <is>
          <t>非预应力</t>
        </is>
      </c>
      <c r="B49" s="2" t="n">
        <v>150</v>
      </c>
      <c r="C49" s="2" t="n">
        <v>1100</v>
      </c>
      <c r="D49" s="2" t="n">
        <v>110</v>
      </c>
      <c r="E49" s="2" t="n">
        <v>600</v>
      </c>
      <c r="F49" s="6" t="n">
        <v>4500</v>
      </c>
      <c r="G49" s="2" t="n">
        <v>200</v>
      </c>
      <c r="H49" s="2" t="n">
        <v>489</v>
      </c>
      <c r="I49" s="2" t="inlineStr">
        <is>
          <t>0</t>
        </is>
      </c>
    </row>
    <row r="50">
      <c r="A50" s="2" t="inlineStr">
        <is>
          <t>非预应力</t>
        </is>
      </c>
      <c r="B50" s="2" t="n">
        <v>150</v>
      </c>
      <c r="C50" s="2" t="n">
        <v>1200</v>
      </c>
      <c r="D50" s="2" t="n">
        <v>120</v>
      </c>
      <c r="E50" s="2" t="n">
        <v>600</v>
      </c>
      <c r="F50" s="6" t="n">
        <v>4800</v>
      </c>
      <c r="G50" s="2" t="n">
        <v>250</v>
      </c>
      <c r="H50" s="2" t="n">
        <v>534</v>
      </c>
      <c r="I50" s="2" t="inlineStr">
        <is>
          <t>0</t>
        </is>
      </c>
    </row>
    <row r="51">
      <c r="A51" s="2" t="inlineStr">
        <is>
          <t>非预应力</t>
        </is>
      </c>
      <c r="B51" s="2" t="n">
        <v>150</v>
      </c>
      <c r="C51" s="2" t="n">
        <v>1350</v>
      </c>
      <c r="D51" s="2" t="n">
        <v>135</v>
      </c>
      <c r="E51" s="2" t="n">
        <v>600</v>
      </c>
      <c r="F51" s="6" t="n">
        <v>5250</v>
      </c>
      <c r="G51" s="2" t="n">
        <v>250</v>
      </c>
      <c r="H51" s="2" t="n">
        <v>600</v>
      </c>
      <c r="I51" s="2" t="inlineStr">
        <is>
          <t>0</t>
        </is>
      </c>
    </row>
    <row r="52">
      <c r="A52" s="2" t="inlineStr">
        <is>
          <t>非预应力</t>
        </is>
      </c>
      <c r="B52" s="2" t="n">
        <v>150</v>
      </c>
      <c r="C52" s="2" t="n">
        <v>1500</v>
      </c>
      <c r="D52" s="2" t="n">
        <v>150</v>
      </c>
      <c r="E52" s="2" t="n">
        <v>600</v>
      </c>
      <c r="F52" s="6" t="n">
        <v>5700</v>
      </c>
      <c r="G52" s="2" t="n">
        <v>300</v>
      </c>
      <c r="H52" s="2" t="n">
        <v>667</v>
      </c>
      <c r="I52" s="2" t="inlineStr">
        <is>
          <t>0</t>
        </is>
      </c>
    </row>
    <row r="53">
      <c r="A53" s="2" t="inlineStr">
        <is>
          <t>非预应力</t>
        </is>
      </c>
      <c r="B53" s="2" t="n">
        <v>150</v>
      </c>
      <c r="C53" s="2" t="n">
        <v>1650</v>
      </c>
      <c r="D53" s="2" t="n">
        <v>165</v>
      </c>
      <c r="E53" s="2" t="n">
        <v>800</v>
      </c>
      <c r="F53" s="6" t="n">
        <v>6550</v>
      </c>
      <c r="G53" s="2" t="n">
        <v>300</v>
      </c>
      <c r="H53" s="2" t="n">
        <v>734</v>
      </c>
      <c r="I53" s="2" t="inlineStr">
        <is>
          <t>0</t>
        </is>
      </c>
    </row>
    <row r="54">
      <c r="A54" s="2" t="inlineStr">
        <is>
          <t>非预应力</t>
        </is>
      </c>
      <c r="B54" s="2" t="n">
        <v>150</v>
      </c>
      <c r="C54" s="2" t="n">
        <v>1800</v>
      </c>
      <c r="D54" s="2" t="n">
        <v>180</v>
      </c>
      <c r="E54" s="2" t="n">
        <v>800</v>
      </c>
      <c r="F54" s="6" t="n">
        <v>7000</v>
      </c>
      <c r="G54" s="2" t="n">
        <v>300</v>
      </c>
      <c r="H54" s="2" t="n">
        <v>800</v>
      </c>
      <c r="I54" s="2" t="inlineStr">
        <is>
          <t>0</t>
        </is>
      </c>
    </row>
    <row r="55">
      <c r="A55" s="2" t="inlineStr">
        <is>
          <t>非预应力</t>
        </is>
      </c>
      <c r="B55" s="2" t="n">
        <v>150</v>
      </c>
      <c r="C55" s="2" t="n">
        <v>2000</v>
      </c>
      <c r="D55" s="2" t="n">
        <v>200</v>
      </c>
      <c r="E55" s="2" t="n">
        <v>800</v>
      </c>
      <c r="F55" s="6" t="n">
        <v>7600</v>
      </c>
      <c r="G55" s="2" t="n">
        <v>300</v>
      </c>
      <c r="H55" s="2" t="n">
        <v>889</v>
      </c>
      <c r="I55" s="2" t="inlineStr">
        <is>
          <t>0</t>
        </is>
      </c>
    </row>
    <row r="56">
      <c r="A56" s="2" t="inlineStr">
        <is>
          <t>非预应力</t>
        </is>
      </c>
      <c r="B56" s="2" t="n">
        <v>150</v>
      </c>
      <c r="C56" s="2" t="n">
        <v>2200</v>
      </c>
      <c r="D56" s="2" t="n">
        <v>220</v>
      </c>
      <c r="E56" s="2" t="n">
        <v>800</v>
      </c>
      <c r="F56" s="6" t="n">
        <v>8200</v>
      </c>
      <c r="G56" s="2" t="n">
        <v>300</v>
      </c>
      <c r="H56" s="2" t="n">
        <v>978</v>
      </c>
      <c r="I56" s="2" t="inlineStr">
        <is>
          <t>0</t>
        </is>
      </c>
    </row>
    <row r="57">
      <c r="A57" s="2" t="inlineStr">
        <is>
          <t>非预应力</t>
        </is>
      </c>
      <c r="B57" s="2" t="n">
        <v>150</v>
      </c>
      <c r="C57" s="2" t="n">
        <v>2400</v>
      </c>
      <c r="D57" s="2" t="n">
        <v>230</v>
      </c>
      <c r="E57" s="2" t="n">
        <v>800</v>
      </c>
      <c r="F57" s="6" t="n">
        <v>8800</v>
      </c>
      <c r="G57" s="2" t="n">
        <v>300</v>
      </c>
      <c r="H57" s="2" t="n">
        <v>1060</v>
      </c>
      <c r="I57" s="2" t="inlineStr">
        <is>
          <t>0</t>
        </is>
      </c>
    </row>
    <row r="58">
      <c r="A58" s="2" t="inlineStr">
        <is>
          <t>非预应力</t>
        </is>
      </c>
      <c r="B58" s="2" t="n">
        <v>150</v>
      </c>
      <c r="C58" s="2" t="n">
        <v>2600</v>
      </c>
      <c r="D58" s="2" t="n">
        <v>235</v>
      </c>
      <c r="E58" s="2" t="n">
        <v>800</v>
      </c>
      <c r="F58" s="6" t="n">
        <v>9400</v>
      </c>
      <c r="G58" s="2" t="n">
        <v>300</v>
      </c>
      <c r="H58" s="2" t="n">
        <v>1138</v>
      </c>
      <c r="I58" s="2" t="inlineStr">
        <is>
          <t>0</t>
        </is>
      </c>
    </row>
    <row r="59">
      <c r="A59" s="2" t="inlineStr">
        <is>
          <t>非预应力</t>
        </is>
      </c>
      <c r="B59" s="2" t="n">
        <v>150</v>
      </c>
      <c r="C59" s="2" t="n">
        <v>2800</v>
      </c>
      <c r="D59" s="2" t="n">
        <v>255</v>
      </c>
      <c r="E59" s="2" t="n">
        <v>800</v>
      </c>
      <c r="F59" s="6" t="n">
        <v>10000</v>
      </c>
      <c r="G59" s="2" t="n">
        <v>300</v>
      </c>
      <c r="H59" s="2" t="n">
        <v>1227</v>
      </c>
      <c r="I59" s="2" t="inlineStr">
        <is>
          <t>0</t>
        </is>
      </c>
    </row>
    <row r="60">
      <c r="A60" s="2" t="inlineStr">
        <is>
          <t>非预应力</t>
        </is>
      </c>
      <c r="B60" s="2" t="n">
        <v>150</v>
      </c>
      <c r="C60" s="2" t="n">
        <v>3000</v>
      </c>
      <c r="D60" s="2" t="n">
        <v>275</v>
      </c>
      <c r="E60" s="2" t="n">
        <v>800</v>
      </c>
      <c r="F60" s="6" t="n">
        <v>10600</v>
      </c>
      <c r="G60" s="2" t="n">
        <v>300</v>
      </c>
      <c r="H60" s="2" t="n">
        <v>1316</v>
      </c>
      <c r="I60" s="2" t="inlineStr">
        <is>
          <t>0</t>
        </is>
      </c>
    </row>
    <row r="61">
      <c r="A61" s="3" t="inlineStr">
        <is>
          <t>06MS201-1</t>
        </is>
      </c>
      <c r="B61" s="3" t="inlineStr">
        <is>
          <t>11</t>
        </is>
      </c>
      <c r="C61" s="3" t="inlineStr">
        <is>
          <t>180°</t>
        </is>
      </c>
      <c r="D61" s="3" t="inlineStr">
        <is>
          <t>钢筋混凝土管180度砂石基础</t>
        </is>
      </c>
      <c r="P61" s="3" t="inlineStr">
        <is>
          <t>图集标识等级</t>
        </is>
      </c>
    </row>
    <row r="62" customFormat="1" s="3">
      <c r="A62" s="2" t="inlineStr">
        <is>
          <t>非预应力</t>
        </is>
      </c>
      <c r="B62" s="2" t="n">
        <v>180</v>
      </c>
      <c r="C62" s="2" t="n">
        <v>200</v>
      </c>
      <c r="D62" s="2" t="n">
        <v>30</v>
      </c>
      <c r="E62" s="2" t="n">
        <v>400</v>
      </c>
      <c r="F62" s="6" t="n">
        <v>1400</v>
      </c>
      <c r="G62" s="2" t="n">
        <v>100</v>
      </c>
      <c r="H62" s="2" t="n">
        <v>130</v>
      </c>
      <c r="I62" s="2" t="inlineStr">
        <is>
          <t>0</t>
        </is>
      </c>
    </row>
    <row r="63">
      <c r="A63" s="2" t="inlineStr">
        <is>
          <t>非预应力</t>
        </is>
      </c>
      <c r="B63" s="2" t="n">
        <v>180</v>
      </c>
      <c r="C63" s="2" t="n">
        <v>300</v>
      </c>
      <c r="D63" s="2" t="n">
        <v>30</v>
      </c>
      <c r="E63" s="2" t="n">
        <v>400</v>
      </c>
      <c r="F63" s="6" t="n">
        <v>1700</v>
      </c>
      <c r="G63" s="2" t="n">
        <v>100</v>
      </c>
      <c r="H63" s="2" t="n">
        <v>180</v>
      </c>
      <c r="I63" s="2" t="inlineStr">
        <is>
          <t>0</t>
        </is>
      </c>
    </row>
    <row r="64">
      <c r="A64" s="2" t="inlineStr">
        <is>
          <t>非预应力</t>
        </is>
      </c>
      <c r="B64" s="2" t="n">
        <v>180</v>
      </c>
      <c r="C64" s="2" t="n">
        <v>400</v>
      </c>
      <c r="D64" s="2" t="n">
        <v>40</v>
      </c>
      <c r="E64" s="2" t="n">
        <v>400</v>
      </c>
      <c r="F64" s="6" t="n">
        <v>2000</v>
      </c>
      <c r="G64" s="2" t="n">
        <v>100</v>
      </c>
      <c r="H64" s="2" t="n">
        <v>240</v>
      </c>
      <c r="I64" s="2" t="inlineStr">
        <is>
          <t>0</t>
        </is>
      </c>
    </row>
    <row r="65">
      <c r="A65" s="2" t="inlineStr">
        <is>
          <t>非预应力</t>
        </is>
      </c>
      <c r="B65" s="2" t="n">
        <v>180</v>
      </c>
      <c r="C65" s="2" t="n">
        <v>500</v>
      </c>
      <c r="D65" s="2" t="n">
        <v>50</v>
      </c>
      <c r="E65" s="2" t="n">
        <v>400</v>
      </c>
      <c r="F65" s="6" t="n">
        <v>2300</v>
      </c>
      <c r="G65" s="2" t="n">
        <v>100</v>
      </c>
      <c r="H65" s="2" t="n">
        <v>300</v>
      </c>
      <c r="I65" s="2" t="inlineStr">
        <is>
          <t>0</t>
        </is>
      </c>
    </row>
    <row r="66">
      <c r="A66" s="2" t="inlineStr">
        <is>
          <t>非预应力</t>
        </is>
      </c>
      <c r="B66" s="2" t="n">
        <v>180</v>
      </c>
      <c r="C66" s="2" t="n">
        <v>600</v>
      </c>
      <c r="D66" s="2" t="n">
        <v>60</v>
      </c>
      <c r="E66" s="2" t="n">
        <v>500</v>
      </c>
      <c r="F66" s="6" t="n">
        <v>2800</v>
      </c>
      <c r="G66" s="2" t="n">
        <v>100</v>
      </c>
      <c r="H66" s="2" t="n">
        <v>360</v>
      </c>
      <c r="I66" s="2" t="inlineStr">
        <is>
          <t>0</t>
        </is>
      </c>
    </row>
    <row r="67">
      <c r="A67" s="2" t="inlineStr">
        <is>
          <t>非预应力</t>
        </is>
      </c>
      <c r="B67" s="2" t="n">
        <v>180</v>
      </c>
      <c r="C67" s="2" t="n">
        <v>700</v>
      </c>
      <c r="D67" s="2" t="n">
        <v>70</v>
      </c>
      <c r="E67" s="2" t="n">
        <v>500</v>
      </c>
      <c r="F67" s="6" t="n">
        <v>3100</v>
      </c>
      <c r="G67" s="2" t="n">
        <v>150</v>
      </c>
      <c r="H67" s="2" t="n">
        <v>420</v>
      </c>
      <c r="I67" s="2" t="inlineStr">
        <is>
          <t>0</t>
        </is>
      </c>
    </row>
    <row r="68">
      <c r="A68" s="2" t="inlineStr">
        <is>
          <t>非预应力</t>
        </is>
      </c>
      <c r="B68" s="2" t="n">
        <v>180</v>
      </c>
      <c r="C68" s="2" t="n">
        <v>800</v>
      </c>
      <c r="D68" s="2" t="n">
        <v>80</v>
      </c>
      <c r="E68" s="2" t="n">
        <v>500</v>
      </c>
      <c r="F68" s="6" t="n">
        <v>3400</v>
      </c>
      <c r="G68" s="2" t="n">
        <v>150</v>
      </c>
      <c r="H68" s="2" t="n">
        <v>480</v>
      </c>
      <c r="I68" s="2" t="inlineStr">
        <is>
          <t>0</t>
        </is>
      </c>
    </row>
    <row r="69">
      <c r="A69" s="2" t="inlineStr">
        <is>
          <t>非预应力</t>
        </is>
      </c>
      <c r="B69" s="2" t="n">
        <v>180</v>
      </c>
      <c r="C69" s="2" t="n">
        <v>900</v>
      </c>
      <c r="D69" s="2" t="n">
        <v>90</v>
      </c>
      <c r="E69" s="2" t="n">
        <v>500</v>
      </c>
      <c r="F69" s="6" t="n">
        <v>3700</v>
      </c>
      <c r="G69" s="2" t="n">
        <v>200</v>
      </c>
      <c r="H69" s="2" t="n">
        <v>540</v>
      </c>
      <c r="I69" s="2" t="inlineStr">
        <is>
          <t>0</t>
        </is>
      </c>
    </row>
    <row r="70">
      <c r="A70" s="2" t="inlineStr">
        <is>
          <t>非预应力</t>
        </is>
      </c>
      <c r="B70" s="2" t="n">
        <v>180</v>
      </c>
      <c r="C70" s="2" t="n">
        <v>1000</v>
      </c>
      <c r="D70" s="2" t="n">
        <v>100</v>
      </c>
      <c r="E70" s="2" t="n">
        <v>500</v>
      </c>
      <c r="F70" s="6" t="n">
        <v>4000</v>
      </c>
      <c r="G70" s="2" t="n">
        <v>200</v>
      </c>
      <c r="H70" s="2" t="n">
        <v>600</v>
      </c>
      <c r="I70" s="2" t="inlineStr">
        <is>
          <t>0</t>
        </is>
      </c>
    </row>
    <row r="71">
      <c r="A71" s="2" t="inlineStr">
        <is>
          <t>非预应力</t>
        </is>
      </c>
      <c r="B71" s="2" t="n">
        <v>180</v>
      </c>
      <c r="C71" s="2" t="n">
        <v>1100</v>
      </c>
      <c r="D71" s="2" t="n">
        <v>110</v>
      </c>
      <c r="E71" s="2" t="n">
        <v>600</v>
      </c>
      <c r="F71" s="6" t="n">
        <v>4500</v>
      </c>
      <c r="G71" s="2" t="n">
        <v>200</v>
      </c>
      <c r="H71" s="2" t="n">
        <v>660</v>
      </c>
      <c r="I71" s="2" t="inlineStr">
        <is>
          <t>0</t>
        </is>
      </c>
    </row>
    <row r="72">
      <c r="A72" s="2" t="inlineStr">
        <is>
          <t>非预应力</t>
        </is>
      </c>
      <c r="B72" s="2" t="n">
        <v>180</v>
      </c>
      <c r="C72" s="2" t="n">
        <v>1200</v>
      </c>
      <c r="D72" s="2" t="n">
        <v>120</v>
      </c>
      <c r="E72" s="2" t="n">
        <v>600</v>
      </c>
      <c r="F72" s="6" t="n">
        <v>4800</v>
      </c>
      <c r="G72" s="2" t="n">
        <v>250</v>
      </c>
      <c r="H72" s="2" t="n">
        <v>720</v>
      </c>
      <c r="I72" s="2" t="inlineStr">
        <is>
          <t>0</t>
        </is>
      </c>
    </row>
    <row r="73">
      <c r="A73" s="2" t="inlineStr">
        <is>
          <t>非预应力</t>
        </is>
      </c>
      <c r="B73" s="2" t="n">
        <v>180</v>
      </c>
      <c r="C73" s="2" t="n">
        <v>1350</v>
      </c>
      <c r="D73" s="2" t="n">
        <v>135</v>
      </c>
      <c r="E73" s="2" t="n">
        <v>600</v>
      </c>
      <c r="F73" s="6" t="n">
        <v>5250</v>
      </c>
      <c r="G73" s="2" t="n">
        <v>250</v>
      </c>
      <c r="H73" s="2" t="n">
        <v>810</v>
      </c>
      <c r="I73" s="2" t="inlineStr">
        <is>
          <t>0</t>
        </is>
      </c>
    </row>
    <row r="74">
      <c r="A74" s="2" t="inlineStr">
        <is>
          <t>非预应力</t>
        </is>
      </c>
      <c r="B74" s="2" t="n">
        <v>180</v>
      </c>
      <c r="C74" s="2" t="n">
        <v>1500</v>
      </c>
      <c r="D74" s="2" t="n">
        <v>150</v>
      </c>
      <c r="E74" s="2" t="n">
        <v>600</v>
      </c>
      <c r="F74" s="6" t="n">
        <v>5700</v>
      </c>
      <c r="G74" s="2" t="n">
        <v>300</v>
      </c>
      <c r="H74" s="2" t="n">
        <v>900</v>
      </c>
      <c r="I74" s="2" t="inlineStr">
        <is>
          <t>0</t>
        </is>
      </c>
    </row>
    <row r="75">
      <c r="A75" s="2" t="inlineStr">
        <is>
          <t>非预应力</t>
        </is>
      </c>
      <c r="B75" s="2" t="n">
        <v>180</v>
      </c>
      <c r="C75" s="2" t="n">
        <v>1650</v>
      </c>
      <c r="D75" s="2" t="n">
        <v>165</v>
      </c>
      <c r="E75" s="2" t="n">
        <v>800</v>
      </c>
      <c r="F75" s="6" t="n">
        <v>6550</v>
      </c>
      <c r="G75" s="2" t="n">
        <v>300</v>
      </c>
      <c r="H75" s="2" t="n">
        <v>990</v>
      </c>
      <c r="I75" s="2" t="inlineStr">
        <is>
          <t>0</t>
        </is>
      </c>
    </row>
    <row r="76">
      <c r="A76" s="2" t="inlineStr">
        <is>
          <t>非预应力</t>
        </is>
      </c>
      <c r="B76" s="2" t="n">
        <v>180</v>
      </c>
      <c r="C76" s="2" t="n">
        <v>1800</v>
      </c>
      <c r="D76" s="2" t="n">
        <v>180</v>
      </c>
      <c r="E76" s="2" t="n">
        <v>800</v>
      </c>
      <c r="F76" s="6" t="n">
        <v>7000</v>
      </c>
      <c r="G76" s="2" t="n">
        <v>300</v>
      </c>
      <c r="H76" s="2" t="n">
        <v>1080</v>
      </c>
      <c r="I76" s="2" t="inlineStr">
        <is>
          <t>0</t>
        </is>
      </c>
    </row>
    <row r="77">
      <c r="A77" s="2" t="inlineStr">
        <is>
          <t>非预应力</t>
        </is>
      </c>
      <c r="B77" s="2" t="n">
        <v>180</v>
      </c>
      <c r="C77" s="2" t="n">
        <v>2000</v>
      </c>
      <c r="D77" s="2" t="n">
        <v>200</v>
      </c>
      <c r="E77" s="2" t="n">
        <v>800</v>
      </c>
      <c r="F77" s="6" t="n">
        <v>7600</v>
      </c>
      <c r="G77" s="2" t="n">
        <v>300</v>
      </c>
      <c r="H77" s="2" t="n">
        <v>1200</v>
      </c>
      <c r="I77" s="2" t="inlineStr">
        <is>
          <t>0</t>
        </is>
      </c>
    </row>
    <row r="78">
      <c r="A78" s="2" t="inlineStr">
        <is>
          <t>非预应力</t>
        </is>
      </c>
      <c r="B78" s="2" t="n">
        <v>180</v>
      </c>
      <c r="C78" s="2" t="n">
        <v>2200</v>
      </c>
      <c r="D78" s="2" t="n">
        <v>220</v>
      </c>
      <c r="E78" s="2" t="n">
        <v>800</v>
      </c>
      <c r="F78" s="6" t="n">
        <v>8200</v>
      </c>
      <c r="G78" s="2" t="n">
        <v>300</v>
      </c>
      <c r="H78" s="2" t="n">
        <v>1320</v>
      </c>
      <c r="I78" s="2" t="inlineStr">
        <is>
          <t>0</t>
        </is>
      </c>
    </row>
    <row r="79">
      <c r="A79" s="2" t="inlineStr">
        <is>
          <t>非预应力</t>
        </is>
      </c>
      <c r="B79" s="2" t="n">
        <v>180</v>
      </c>
      <c r="C79" s="2" t="n">
        <v>2400</v>
      </c>
      <c r="D79" s="2" t="n">
        <v>230</v>
      </c>
      <c r="E79" s="2" t="n">
        <v>800</v>
      </c>
      <c r="F79" s="6" t="n">
        <v>8800</v>
      </c>
      <c r="G79" s="2" t="n">
        <v>300</v>
      </c>
      <c r="H79" s="2" t="n">
        <v>1430</v>
      </c>
      <c r="I79" s="2" t="inlineStr">
        <is>
          <t>0</t>
        </is>
      </c>
    </row>
    <row r="80">
      <c r="A80" s="2" t="inlineStr">
        <is>
          <t>非预应力</t>
        </is>
      </c>
      <c r="B80" s="2" t="n">
        <v>180</v>
      </c>
      <c r="C80" s="2" t="n">
        <v>2600</v>
      </c>
      <c r="D80" s="2" t="n">
        <v>235</v>
      </c>
      <c r="E80" s="2" t="n">
        <v>800</v>
      </c>
      <c r="F80" s="6" t="n">
        <v>9400</v>
      </c>
      <c r="G80" s="2" t="n">
        <v>300</v>
      </c>
      <c r="H80" s="2" t="n">
        <v>1535</v>
      </c>
      <c r="I80" s="2" t="inlineStr">
        <is>
          <t>0</t>
        </is>
      </c>
    </row>
    <row r="81">
      <c r="A81" s="2" t="inlineStr">
        <is>
          <t>非预应力</t>
        </is>
      </c>
      <c r="B81" s="2" t="n">
        <v>180</v>
      </c>
      <c r="C81" s="2" t="n">
        <v>2800</v>
      </c>
      <c r="D81" s="2" t="n">
        <v>255</v>
      </c>
      <c r="E81" s="2" t="n">
        <v>800</v>
      </c>
      <c r="F81" s="6" t="n">
        <v>10000</v>
      </c>
      <c r="G81" s="2" t="n">
        <v>300</v>
      </c>
      <c r="H81" s="2" t="n">
        <v>1655</v>
      </c>
      <c r="I81" s="2" t="inlineStr">
        <is>
          <t>0</t>
        </is>
      </c>
    </row>
    <row r="82">
      <c r="A82" s="2" t="inlineStr">
        <is>
          <t>非预应力</t>
        </is>
      </c>
      <c r="B82" s="2" t="n">
        <v>180</v>
      </c>
      <c r="C82" s="2" t="n">
        <v>3000</v>
      </c>
      <c r="D82" s="2" t="n">
        <v>275</v>
      </c>
      <c r="E82" s="2" t="n">
        <v>800</v>
      </c>
      <c r="F82" s="6" t="n">
        <v>10600</v>
      </c>
      <c r="G82" s="2" t="n">
        <v>300</v>
      </c>
      <c r="H82" s="2" t="n">
        <v>1775</v>
      </c>
      <c r="I82" s="2" t="inlineStr">
        <is>
          <t>0</t>
        </is>
      </c>
    </row>
    <row r="83">
      <c r="A83" s="3" t="inlineStr">
        <is>
          <t>06MS201-1</t>
        </is>
      </c>
      <c r="B83" s="3" t="inlineStr">
        <is>
          <t>12</t>
        </is>
      </c>
      <c r="C83" s="3" t="inlineStr">
        <is>
          <t>90°</t>
        </is>
      </c>
      <c r="D83" s="3" t="inlineStr">
        <is>
          <t>预应力混凝土管90度砂石基础</t>
        </is>
      </c>
      <c r="P83" s="3" t="inlineStr">
        <is>
          <t>图集标识等级</t>
        </is>
      </c>
    </row>
    <row r="84" customFormat="1" s="3">
      <c r="A84" s="2" t="inlineStr">
        <is>
          <t>预应力</t>
        </is>
      </c>
      <c r="B84" s="2" t="n">
        <v>90</v>
      </c>
      <c r="C84" s="2" t="n">
        <v>600</v>
      </c>
      <c r="D84" s="2" t="n">
        <v>55</v>
      </c>
      <c r="E84" s="2" t="n">
        <v>500</v>
      </c>
      <c r="F84" s="6" t="n">
        <v>2800</v>
      </c>
      <c r="G84" s="2" t="n">
        <v>110</v>
      </c>
      <c r="H84" s="2" t="n">
        <v>104</v>
      </c>
      <c r="I84" s="2" t="inlineStr">
        <is>
          <t>0</t>
        </is>
      </c>
    </row>
    <row r="85">
      <c r="A85" s="2" t="inlineStr">
        <is>
          <t>预应力</t>
        </is>
      </c>
      <c r="B85" s="2" t="n">
        <v>90</v>
      </c>
      <c r="C85" s="2" t="n">
        <v>700</v>
      </c>
      <c r="D85" s="2" t="n">
        <v>55</v>
      </c>
      <c r="E85" s="2" t="n">
        <v>500</v>
      </c>
      <c r="F85" s="6" t="n">
        <v>3100</v>
      </c>
      <c r="G85" s="2" t="n">
        <v>110</v>
      </c>
      <c r="H85" s="2" t="n">
        <v>119</v>
      </c>
      <c r="I85" s="2" t="inlineStr">
        <is>
          <t>0</t>
        </is>
      </c>
    </row>
    <row r="86">
      <c r="A86" s="2" t="inlineStr">
        <is>
          <t>预应力</t>
        </is>
      </c>
      <c r="B86" s="2" t="n">
        <v>90</v>
      </c>
      <c r="C86" s="2" t="n">
        <v>800</v>
      </c>
      <c r="D86" s="2" t="n">
        <v>60</v>
      </c>
      <c r="E86" s="2" t="n">
        <v>500</v>
      </c>
      <c r="F86" s="6" t="n">
        <v>3400</v>
      </c>
      <c r="G86" s="2" t="n">
        <v>120</v>
      </c>
      <c r="H86" s="2" t="n">
        <v>135</v>
      </c>
      <c r="I86" s="2" t="inlineStr">
        <is>
          <t>0</t>
        </is>
      </c>
    </row>
    <row r="87">
      <c r="A87" s="2" t="inlineStr">
        <is>
          <t>预应力</t>
        </is>
      </c>
      <c r="B87" s="2" t="n">
        <v>90</v>
      </c>
      <c r="C87" s="2" t="n">
        <v>900</v>
      </c>
      <c r="D87" s="2" t="n">
        <v>65</v>
      </c>
      <c r="E87" s="2" t="n">
        <v>500</v>
      </c>
      <c r="F87" s="6" t="n">
        <v>3700</v>
      </c>
      <c r="G87" s="2" t="n">
        <v>130</v>
      </c>
      <c r="H87" s="2" t="n">
        <v>151</v>
      </c>
      <c r="I87" s="2" t="inlineStr">
        <is>
          <t>0</t>
        </is>
      </c>
    </row>
    <row r="88">
      <c r="A88" s="2" t="inlineStr">
        <is>
          <t>预应力</t>
        </is>
      </c>
      <c r="B88" s="2" t="n">
        <v>90</v>
      </c>
      <c r="C88" s="2" t="n">
        <v>1000</v>
      </c>
      <c r="D88" s="2" t="n">
        <v>70</v>
      </c>
      <c r="E88" s="2" t="n">
        <v>500</v>
      </c>
      <c r="F88" s="6" t="n">
        <v>4000</v>
      </c>
      <c r="G88" s="2" t="n">
        <v>140</v>
      </c>
      <c r="H88" s="2" t="n">
        <v>167</v>
      </c>
      <c r="I88" s="2" t="inlineStr">
        <is>
          <t>0</t>
        </is>
      </c>
    </row>
    <row r="89">
      <c r="A89" s="2" t="inlineStr">
        <is>
          <t>预应力</t>
        </is>
      </c>
      <c r="B89" s="2" t="n">
        <v>90</v>
      </c>
      <c r="C89" s="2" t="n">
        <v>1200</v>
      </c>
      <c r="D89" s="2" t="n">
        <v>80</v>
      </c>
      <c r="E89" s="2" t="n">
        <v>600</v>
      </c>
      <c r="F89" s="6" t="n">
        <v>4800</v>
      </c>
      <c r="G89" s="2" t="n">
        <v>160</v>
      </c>
      <c r="H89" s="2" t="n">
        <v>199</v>
      </c>
      <c r="I89" s="2" t="inlineStr">
        <is>
          <t>0</t>
        </is>
      </c>
    </row>
    <row r="90">
      <c r="A90" s="2" t="inlineStr">
        <is>
          <t>预应力</t>
        </is>
      </c>
      <c r="B90" s="2" t="n">
        <v>90</v>
      </c>
      <c r="C90" s="2" t="n">
        <v>1400</v>
      </c>
      <c r="D90" s="2" t="n">
        <v>90</v>
      </c>
      <c r="E90" s="2" t="n">
        <v>600</v>
      </c>
      <c r="F90" s="6" t="n">
        <v>5400</v>
      </c>
      <c r="G90" s="2" t="n">
        <v>180</v>
      </c>
      <c r="H90" s="2" t="n">
        <v>231</v>
      </c>
      <c r="I90" s="2" t="inlineStr">
        <is>
          <t>0</t>
        </is>
      </c>
    </row>
    <row r="91">
      <c r="A91" s="2" t="inlineStr">
        <is>
          <t>预应力</t>
        </is>
      </c>
      <c r="B91" s="2" t="n">
        <v>90</v>
      </c>
      <c r="C91" s="2" t="n">
        <v>1600</v>
      </c>
      <c r="D91" s="2" t="n">
        <v>100</v>
      </c>
      <c r="E91" s="2" t="n">
        <v>800</v>
      </c>
      <c r="F91" s="6" t="n">
        <v>6400</v>
      </c>
      <c r="G91" s="2" t="n">
        <v>200</v>
      </c>
      <c r="H91" s="2" t="n">
        <v>264</v>
      </c>
      <c r="I91" s="2" t="inlineStr">
        <is>
          <t>0</t>
        </is>
      </c>
    </row>
    <row r="92">
      <c r="A92" s="2" t="inlineStr">
        <is>
          <t>预应力</t>
        </is>
      </c>
      <c r="B92" s="2" t="n">
        <v>90</v>
      </c>
      <c r="C92" s="2" t="n">
        <v>1800</v>
      </c>
      <c r="D92" s="2" t="n">
        <v>115</v>
      </c>
      <c r="E92" s="2" t="n">
        <v>800</v>
      </c>
      <c r="F92" s="6" t="n">
        <v>7000</v>
      </c>
      <c r="G92" s="2" t="n">
        <v>230</v>
      </c>
      <c r="H92" s="2" t="n">
        <v>297</v>
      </c>
      <c r="I92" s="2" t="inlineStr">
        <is>
          <t>0</t>
        </is>
      </c>
    </row>
    <row r="93">
      <c r="A93" s="2" t="inlineStr">
        <is>
          <t>预应力</t>
        </is>
      </c>
      <c r="B93" s="2" t="n">
        <v>90</v>
      </c>
      <c r="C93" s="2" t="n">
        <v>2000</v>
      </c>
      <c r="D93" s="2" t="n">
        <v>130</v>
      </c>
      <c r="E93" s="2" t="n">
        <v>800</v>
      </c>
      <c r="F93" s="6" t="n">
        <v>7600</v>
      </c>
      <c r="G93" s="2" t="n">
        <v>260</v>
      </c>
      <c r="H93" s="2" t="n">
        <v>331</v>
      </c>
      <c r="I93" s="2" t="inlineStr">
        <is>
          <t>0</t>
        </is>
      </c>
    </row>
    <row r="94">
      <c r="A94" s="3" t="inlineStr">
        <is>
          <t>06MS201-1</t>
        </is>
      </c>
      <c r="B94" s="3" t="inlineStr">
        <is>
          <t>13</t>
        </is>
      </c>
      <c r="C94" s="3" t="inlineStr">
        <is>
          <t>120°</t>
        </is>
      </c>
      <c r="D94" s="3" t="inlineStr">
        <is>
          <t>预应力混凝土管120度砂石基础</t>
        </is>
      </c>
      <c r="P94" s="3" t="inlineStr">
        <is>
          <t>图集标识等级</t>
        </is>
      </c>
    </row>
    <row r="95" customFormat="1" s="3">
      <c r="A95" s="2" t="inlineStr">
        <is>
          <t>预应力</t>
        </is>
      </c>
      <c r="B95" s="2" t="n">
        <v>120</v>
      </c>
      <c r="C95" s="2" t="n">
        <v>400</v>
      </c>
      <c r="D95" s="2" t="n">
        <v>50</v>
      </c>
      <c r="E95" s="2" t="n">
        <v>400</v>
      </c>
      <c r="F95" s="6" t="n">
        <v>2000</v>
      </c>
      <c r="G95" s="2" t="n">
        <v>100</v>
      </c>
      <c r="H95" s="2" t="n">
        <v>125</v>
      </c>
      <c r="I95" s="2" t="inlineStr">
        <is>
          <t>0</t>
        </is>
      </c>
    </row>
    <row r="96">
      <c r="A96" s="2" t="inlineStr">
        <is>
          <t>预应力</t>
        </is>
      </c>
      <c r="B96" s="2" t="n">
        <v>120</v>
      </c>
      <c r="C96" s="2" t="n">
        <v>500</v>
      </c>
      <c r="D96" s="2" t="n">
        <v>50</v>
      </c>
      <c r="E96" s="2" t="n">
        <v>400</v>
      </c>
      <c r="F96" s="6" t="n">
        <v>2300</v>
      </c>
      <c r="G96" s="2" t="n">
        <v>100</v>
      </c>
      <c r="H96" s="2" t="n">
        <v>150</v>
      </c>
      <c r="I96" s="2" t="inlineStr">
        <is>
          <t>0</t>
        </is>
      </c>
    </row>
    <row r="97">
      <c r="A97" s="2" t="inlineStr">
        <is>
          <t>预应力</t>
        </is>
      </c>
      <c r="B97" s="2" t="n">
        <v>120</v>
      </c>
      <c r="C97" s="2" t="n">
        <v>600</v>
      </c>
      <c r="D97" s="2" t="n">
        <v>55</v>
      </c>
      <c r="E97" s="2" t="n">
        <v>500</v>
      </c>
      <c r="F97" s="6" t="n">
        <v>2800</v>
      </c>
      <c r="G97" s="2" t="n">
        <v>110</v>
      </c>
      <c r="H97" s="2" t="n">
        <v>178</v>
      </c>
      <c r="I97" s="2" t="inlineStr">
        <is>
          <t>0</t>
        </is>
      </c>
    </row>
    <row r="98">
      <c r="A98" s="2" t="inlineStr">
        <is>
          <t>预应力</t>
        </is>
      </c>
      <c r="B98" s="2" t="n">
        <v>120</v>
      </c>
      <c r="C98" s="2" t="n">
        <v>700</v>
      </c>
      <c r="D98" s="2" t="n">
        <v>55</v>
      </c>
      <c r="E98" s="2" t="n">
        <v>500</v>
      </c>
      <c r="F98" s="6" t="n">
        <v>3100</v>
      </c>
      <c r="G98" s="2" t="n">
        <v>110</v>
      </c>
      <c r="H98" s="2" t="n">
        <v>203</v>
      </c>
      <c r="I98" s="2" t="inlineStr">
        <is>
          <t>0</t>
        </is>
      </c>
    </row>
    <row r="99">
      <c r="A99" s="2" t="inlineStr">
        <is>
          <t>预应力</t>
        </is>
      </c>
      <c r="B99" s="2" t="n">
        <v>120</v>
      </c>
      <c r="C99" s="2" t="n">
        <v>800</v>
      </c>
      <c r="D99" s="2" t="n">
        <v>60</v>
      </c>
      <c r="E99" s="2" t="n">
        <v>500</v>
      </c>
      <c r="F99" s="6" t="n">
        <v>3400</v>
      </c>
      <c r="G99" s="2" t="n">
        <v>120</v>
      </c>
      <c r="H99" s="2" t="n">
        <v>230</v>
      </c>
      <c r="I99" s="2" t="inlineStr">
        <is>
          <t>0</t>
        </is>
      </c>
    </row>
    <row r="100">
      <c r="A100" s="2" t="inlineStr">
        <is>
          <t>预应力</t>
        </is>
      </c>
      <c r="B100" s="2" t="n">
        <v>120</v>
      </c>
      <c r="C100" s="2" t="n">
        <v>900</v>
      </c>
      <c r="D100" s="2" t="n">
        <v>65</v>
      </c>
      <c r="E100" s="2" t="n">
        <v>500</v>
      </c>
      <c r="F100" s="6" t="n">
        <v>3700</v>
      </c>
      <c r="G100" s="2" t="n">
        <v>130</v>
      </c>
      <c r="H100" s="2" t="n">
        <v>258</v>
      </c>
      <c r="I100" s="2" t="inlineStr">
        <is>
          <t>0</t>
        </is>
      </c>
    </row>
    <row r="101">
      <c r="A101" s="2" t="inlineStr">
        <is>
          <t>预应力</t>
        </is>
      </c>
      <c r="B101" s="2" t="n">
        <v>120</v>
      </c>
      <c r="C101" s="2" t="n">
        <v>1000</v>
      </c>
      <c r="D101" s="2" t="n">
        <v>70</v>
      </c>
      <c r="E101" s="2" t="n">
        <v>500</v>
      </c>
      <c r="F101" s="6" t="n">
        <v>4000</v>
      </c>
      <c r="G101" s="2" t="n">
        <v>140</v>
      </c>
      <c r="H101" s="2" t="n">
        <v>285</v>
      </c>
      <c r="I101" s="2" t="inlineStr">
        <is>
          <t>0</t>
        </is>
      </c>
    </row>
    <row r="102">
      <c r="A102" s="2" t="inlineStr">
        <is>
          <t>预应力</t>
        </is>
      </c>
      <c r="B102" s="2" t="n">
        <v>120</v>
      </c>
      <c r="C102" s="2" t="n">
        <v>1200</v>
      </c>
      <c r="D102" s="2" t="n">
        <v>80</v>
      </c>
      <c r="E102" s="2" t="n">
        <v>600</v>
      </c>
      <c r="F102" s="6" t="n">
        <v>4800</v>
      </c>
      <c r="G102" s="2" t="n">
        <v>160</v>
      </c>
      <c r="H102" s="2" t="n">
        <v>340</v>
      </c>
      <c r="I102" s="2" t="inlineStr">
        <is>
          <t>0</t>
        </is>
      </c>
    </row>
    <row r="103">
      <c r="A103" s="2" t="inlineStr">
        <is>
          <t>预应力</t>
        </is>
      </c>
      <c r="B103" s="2" t="n">
        <v>120</v>
      </c>
      <c r="C103" s="2" t="n">
        <v>1400</v>
      </c>
      <c r="D103" s="2" t="n">
        <v>90</v>
      </c>
      <c r="E103" s="2" t="n">
        <v>600</v>
      </c>
      <c r="F103" s="6" t="n">
        <v>5400</v>
      </c>
      <c r="G103" s="2" t="n">
        <v>180</v>
      </c>
      <c r="H103" s="2" t="n">
        <v>395</v>
      </c>
      <c r="I103" s="2" t="inlineStr">
        <is>
          <t>0</t>
        </is>
      </c>
    </row>
    <row r="104">
      <c r="A104" s="2" t="inlineStr">
        <is>
          <t>预应力</t>
        </is>
      </c>
      <c r="B104" s="2" t="n">
        <v>120</v>
      </c>
      <c r="C104" s="2" t="n">
        <v>1600</v>
      </c>
      <c r="D104" s="2" t="n">
        <v>100</v>
      </c>
      <c r="E104" s="2" t="n">
        <v>800</v>
      </c>
      <c r="F104" s="6" t="n">
        <v>6400</v>
      </c>
      <c r="G104" s="2" t="n">
        <v>200</v>
      </c>
      <c r="H104" s="2" t="n">
        <v>450</v>
      </c>
      <c r="I104" s="2" t="inlineStr">
        <is>
          <t>0</t>
        </is>
      </c>
    </row>
    <row r="105">
      <c r="A105" s="2" t="inlineStr">
        <is>
          <t>预应力</t>
        </is>
      </c>
      <c r="B105" s="2" t="n">
        <v>120</v>
      </c>
      <c r="C105" s="2" t="n">
        <v>1800</v>
      </c>
      <c r="D105" s="2" t="n">
        <v>115</v>
      </c>
      <c r="E105" s="2" t="n">
        <v>800</v>
      </c>
      <c r="F105" s="6" t="n">
        <v>7000</v>
      </c>
      <c r="G105" s="2" t="n">
        <v>230</v>
      </c>
      <c r="H105" s="2" t="n">
        <v>508</v>
      </c>
      <c r="I105" s="2" t="inlineStr">
        <is>
          <t>0</t>
        </is>
      </c>
    </row>
    <row r="106">
      <c r="A106" s="2" t="inlineStr">
        <is>
          <t>预应力</t>
        </is>
      </c>
      <c r="B106" s="2" t="n">
        <v>120</v>
      </c>
      <c r="C106" s="2" t="n">
        <v>2000</v>
      </c>
      <c r="D106" s="2" t="n">
        <v>130</v>
      </c>
      <c r="E106" s="2" t="n">
        <v>800</v>
      </c>
      <c r="F106" s="6" t="n">
        <v>7600</v>
      </c>
      <c r="G106" s="2" t="n">
        <v>260</v>
      </c>
      <c r="H106" s="2" t="n">
        <v>565</v>
      </c>
      <c r="I106" s="2" t="inlineStr">
        <is>
          <t>0</t>
        </is>
      </c>
    </row>
    <row r="107">
      <c r="A107" s="3" t="inlineStr">
        <is>
          <t>06MS201-1</t>
        </is>
      </c>
      <c r="B107" s="3" t="inlineStr">
        <is>
          <t>14</t>
        </is>
      </c>
      <c r="C107" s="3" t="inlineStr">
        <is>
          <t>180°</t>
        </is>
      </c>
      <c r="D107" s="3" t="inlineStr">
        <is>
          <t>预应力混凝土管180度砂石基础</t>
        </is>
      </c>
      <c r="P107" s="3" t="inlineStr">
        <is>
          <t>图集标识等级</t>
        </is>
      </c>
    </row>
    <row r="108" customFormat="1" s="3">
      <c r="A108" s="2" t="inlineStr">
        <is>
          <t>预应力</t>
        </is>
      </c>
      <c r="B108" s="2" t="n">
        <v>180</v>
      </c>
      <c r="C108" s="2" t="n">
        <v>400</v>
      </c>
      <c r="D108" s="2" t="n">
        <v>50</v>
      </c>
      <c r="E108" s="2" t="n">
        <v>400</v>
      </c>
      <c r="F108" s="6" t="n">
        <v>2000</v>
      </c>
      <c r="G108" s="2" t="n">
        <v>100</v>
      </c>
      <c r="H108" s="2" t="n">
        <v>250</v>
      </c>
      <c r="I108" s="2" t="inlineStr">
        <is>
          <t>0</t>
        </is>
      </c>
    </row>
    <row r="109">
      <c r="A109" s="2" t="inlineStr">
        <is>
          <t>预应力</t>
        </is>
      </c>
      <c r="B109" s="2" t="n">
        <v>180</v>
      </c>
      <c r="C109" s="2" t="n">
        <v>500</v>
      </c>
      <c r="D109" s="2" t="n">
        <v>50</v>
      </c>
      <c r="E109" s="2" t="n">
        <v>400</v>
      </c>
      <c r="F109" s="6" t="n">
        <v>2300</v>
      </c>
      <c r="G109" s="2" t="n">
        <v>100</v>
      </c>
      <c r="H109" s="2" t="n">
        <v>300</v>
      </c>
      <c r="I109" s="2" t="inlineStr">
        <is>
          <t>0</t>
        </is>
      </c>
    </row>
    <row r="110">
      <c r="A110" s="2" t="inlineStr">
        <is>
          <t>预应力</t>
        </is>
      </c>
      <c r="B110" s="2" t="n">
        <v>180</v>
      </c>
      <c r="C110" s="2" t="n">
        <v>600</v>
      </c>
      <c r="D110" s="2" t="n">
        <v>55</v>
      </c>
      <c r="E110" s="2" t="n">
        <v>500</v>
      </c>
      <c r="F110" s="6" t="n">
        <v>2800</v>
      </c>
      <c r="G110" s="2" t="n">
        <v>110</v>
      </c>
      <c r="H110" s="2" t="n">
        <v>355</v>
      </c>
      <c r="I110" s="2" t="inlineStr">
        <is>
          <t>0</t>
        </is>
      </c>
    </row>
    <row r="111">
      <c r="A111" s="2" t="inlineStr">
        <is>
          <t>预应力</t>
        </is>
      </c>
      <c r="B111" s="2" t="n">
        <v>180</v>
      </c>
      <c r="C111" s="2" t="n">
        <v>700</v>
      </c>
      <c r="D111" s="2" t="n">
        <v>55</v>
      </c>
      <c r="E111" s="2" t="n">
        <v>500</v>
      </c>
      <c r="F111" s="6" t="n">
        <v>3100</v>
      </c>
      <c r="G111" s="2" t="n">
        <v>110</v>
      </c>
      <c r="H111" s="2" t="n">
        <v>405</v>
      </c>
      <c r="I111" s="2" t="inlineStr">
        <is>
          <t>0</t>
        </is>
      </c>
    </row>
    <row r="112">
      <c r="A112" s="2" t="inlineStr">
        <is>
          <t>预应力</t>
        </is>
      </c>
      <c r="B112" s="2" t="n">
        <v>180</v>
      </c>
      <c r="C112" s="2" t="n">
        <v>800</v>
      </c>
      <c r="D112" s="2" t="n">
        <v>60</v>
      </c>
      <c r="E112" s="2" t="n">
        <v>500</v>
      </c>
      <c r="F112" s="6" t="n">
        <v>3400</v>
      </c>
      <c r="G112" s="2" t="n">
        <v>120</v>
      </c>
      <c r="H112" s="2" t="n">
        <v>460</v>
      </c>
      <c r="I112" s="2" t="inlineStr">
        <is>
          <t>0</t>
        </is>
      </c>
    </row>
    <row r="113">
      <c r="A113" s="2" t="inlineStr">
        <is>
          <t>预应力</t>
        </is>
      </c>
      <c r="B113" s="2" t="n">
        <v>180</v>
      </c>
      <c r="C113" s="2" t="n">
        <v>900</v>
      </c>
      <c r="D113" s="2" t="n">
        <v>65</v>
      </c>
      <c r="E113" s="2" t="n">
        <v>500</v>
      </c>
      <c r="F113" s="6" t="n">
        <v>3700</v>
      </c>
      <c r="G113" s="2" t="n">
        <v>130</v>
      </c>
      <c r="H113" s="2" t="n">
        <v>515</v>
      </c>
      <c r="I113" s="2" t="inlineStr">
        <is>
          <t>0</t>
        </is>
      </c>
    </row>
    <row r="114">
      <c r="A114" s="2" t="inlineStr">
        <is>
          <t>预应力</t>
        </is>
      </c>
      <c r="B114" s="2" t="n">
        <v>180</v>
      </c>
      <c r="C114" s="2" t="n">
        <v>1000</v>
      </c>
      <c r="D114" s="2" t="n">
        <v>70</v>
      </c>
      <c r="E114" s="2" t="n">
        <v>500</v>
      </c>
      <c r="F114" s="6" t="n">
        <v>4000</v>
      </c>
      <c r="G114" s="2" t="n">
        <v>140</v>
      </c>
      <c r="H114" s="2" t="n">
        <v>570</v>
      </c>
      <c r="I114" s="2" t="inlineStr">
        <is>
          <t>0</t>
        </is>
      </c>
    </row>
    <row r="115">
      <c r="A115" s="2" t="inlineStr">
        <is>
          <t>预应力</t>
        </is>
      </c>
      <c r="B115" s="2" t="n">
        <v>180</v>
      </c>
      <c r="C115" s="2" t="n">
        <v>1200</v>
      </c>
      <c r="D115" s="2" t="n">
        <v>80</v>
      </c>
      <c r="E115" s="2" t="n">
        <v>600</v>
      </c>
      <c r="F115" s="6" t="n">
        <v>4800</v>
      </c>
      <c r="G115" s="2" t="n">
        <v>160</v>
      </c>
      <c r="H115" s="2" t="n">
        <v>680</v>
      </c>
      <c r="I115" s="2" t="inlineStr">
        <is>
          <t>0</t>
        </is>
      </c>
    </row>
    <row r="116">
      <c r="A116" s="2" t="inlineStr">
        <is>
          <t>预应力</t>
        </is>
      </c>
      <c r="B116" s="2" t="n">
        <v>180</v>
      </c>
      <c r="C116" s="2" t="n">
        <v>1400</v>
      </c>
      <c r="D116" s="2" t="n">
        <v>90</v>
      </c>
      <c r="E116" s="2" t="n">
        <v>600</v>
      </c>
      <c r="F116" s="6" t="n">
        <v>5400</v>
      </c>
      <c r="G116" s="2" t="n">
        <v>180</v>
      </c>
      <c r="H116" s="2" t="n">
        <v>790</v>
      </c>
      <c r="I116" s="2" t="inlineStr">
        <is>
          <t>0</t>
        </is>
      </c>
    </row>
    <row r="117">
      <c r="A117" s="2" t="inlineStr">
        <is>
          <t>预应力</t>
        </is>
      </c>
      <c r="B117" s="2" t="n">
        <v>180</v>
      </c>
      <c r="C117" s="2" t="n">
        <v>1600</v>
      </c>
      <c r="D117" s="2" t="n">
        <v>100</v>
      </c>
      <c r="E117" s="2" t="n">
        <v>800</v>
      </c>
      <c r="F117" s="6" t="n">
        <v>6400</v>
      </c>
      <c r="G117" s="2" t="n">
        <v>200</v>
      </c>
      <c r="H117" s="2" t="n">
        <v>900</v>
      </c>
      <c r="I117" s="2" t="inlineStr">
        <is>
          <t>0</t>
        </is>
      </c>
    </row>
    <row r="118">
      <c r="A118" s="2" t="inlineStr">
        <is>
          <t>预应力</t>
        </is>
      </c>
      <c r="B118" s="2" t="n">
        <v>180</v>
      </c>
      <c r="C118" s="2" t="n">
        <v>1800</v>
      </c>
      <c r="D118" s="2" t="n">
        <v>115</v>
      </c>
      <c r="E118" s="2" t="n">
        <v>800</v>
      </c>
      <c r="F118" s="6" t="n">
        <v>7000</v>
      </c>
      <c r="G118" s="2" t="n">
        <v>230</v>
      </c>
      <c r="H118" s="2" t="n">
        <v>1015</v>
      </c>
      <c r="I118" s="2" t="inlineStr">
        <is>
          <t>0</t>
        </is>
      </c>
    </row>
    <row r="119">
      <c r="A119" s="2" t="inlineStr">
        <is>
          <t>预应力</t>
        </is>
      </c>
      <c r="B119" s="2" t="n">
        <v>180</v>
      </c>
      <c r="C119" s="2" t="n">
        <v>2000</v>
      </c>
      <c r="D119" s="2" t="n">
        <v>130</v>
      </c>
      <c r="E119" s="2" t="n">
        <v>800</v>
      </c>
      <c r="F119" s="6" t="n">
        <v>7600</v>
      </c>
      <c r="G119" s="2" t="n">
        <v>260</v>
      </c>
      <c r="H119" s="2" t="n">
        <v>1130</v>
      </c>
      <c r="I119" s="2" t="inlineStr">
        <is>
          <t>0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金鹤</dc:creator>
  <dcterms:created xmlns:dcterms="http://purl.org/dc/terms/" xmlns:xsi="http://www.w3.org/2001/XMLSchema-instance" xsi:type="dcterms:W3CDTF">2017-03-25T13:14:24Z</dcterms:created>
  <dcterms:modified xmlns:dcterms="http://purl.org/dc/terms/" xmlns:xsi="http://www.w3.org/2001/XMLSchema-instance" xsi:type="dcterms:W3CDTF">2026-10-23T07:59:32Z</dcterms:modified>
  <cp:lastModifiedBy>金鹤</cp:lastModifiedBy>
</cp:coreProperties>
</file>